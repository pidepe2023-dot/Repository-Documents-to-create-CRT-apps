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westernunion.sharepoint.com/sites/RCSLACATeam/Shared Documents/RCS Document Library/Mystery Shopping/Case Creation/Templates/"/>
    </mc:Choice>
  </mc:AlternateContent>
  <xr:revisionPtr revIDLastSave="9" documentId="8_{3379A188-D2A0-4524-AF36-D5E2FA438F3E}" xr6:coauthVersionLast="47" xr6:coauthVersionMax="47" xr10:uidLastSave="{6870AE28-3328-4705-86E8-BD36E8B84557}"/>
  <bookViews>
    <workbookView xWindow="28665" yWindow="-135" windowWidth="29070" windowHeight="15750" activeTab="6" xr2:uid="{F61675C9-F507-47CD-B5C3-437A8AA1430B}"/>
  </bookViews>
  <sheets>
    <sheet name="Non-SWB CaseList" sheetId="1" r:id="rId1"/>
    <sheet name="Sheet1" sheetId="4" state="hidden" r:id="rId2"/>
    <sheet name="Non-SWB Lists" sheetId="2" state="hidden" r:id="rId3"/>
    <sheet name="SWB CaseList" sheetId="8" r:id="rId4"/>
    <sheet name="SWB-Lists" sheetId="9" state="hidden" r:id="rId5"/>
    <sheet name="Raw Data" sheetId="3" r:id="rId6"/>
    <sheet name="Sheet3" sheetId="16" r:id="rId7"/>
    <sheet name="Sheet2" sheetId="6" state="hidden" r:id="rId8"/>
  </sheets>
  <externalReferences>
    <externalReference r:id="rId9"/>
  </externalReferences>
  <definedNames>
    <definedName name="_xlnm._FilterDatabase" localSheetId="2" hidden="1">'Non-SWB Lists'!$F$1:$G$117</definedName>
    <definedName name="_xlnm._FilterDatabase" localSheetId="5" hidden="1">'Raw Data'!$A$1:$CQ$1</definedName>
    <definedName name="_xlnm._FilterDatabase" localSheetId="4" hidden="1">'SWB-Lists'!#REF!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4" i="1" l="1"/>
  <c r="E13" i="1"/>
  <c r="E14" i="1"/>
  <c r="E15" i="1"/>
  <c r="G13" i="1"/>
  <c r="G14" i="1"/>
  <c r="G15" i="1"/>
  <c r="H13" i="1"/>
  <c r="H14" i="1"/>
  <c r="H15" i="1"/>
  <c r="I13" i="1"/>
  <c r="I14" i="1"/>
  <c r="I15" i="1"/>
  <c r="J13" i="1"/>
  <c r="J14" i="1"/>
  <c r="J15" i="1"/>
  <c r="K13" i="1"/>
  <c r="K14" i="1"/>
  <c r="K15" i="1"/>
  <c r="L13" i="1"/>
  <c r="L14" i="1"/>
  <c r="L15" i="1"/>
  <c r="M13" i="1"/>
  <c r="M15" i="1"/>
  <c r="N13" i="1"/>
  <c r="N14" i="1"/>
  <c r="N15" i="1"/>
  <c r="O13" i="1"/>
  <c r="O14" i="1"/>
  <c r="O15" i="1"/>
  <c r="P13" i="1"/>
  <c r="P14" i="1"/>
  <c r="P15" i="1"/>
  <c r="Q13" i="1"/>
  <c r="Q14" i="1"/>
  <c r="Q15" i="1"/>
  <c r="R13" i="1"/>
  <c r="R14" i="1"/>
  <c r="R15" i="1"/>
  <c r="S13" i="1"/>
  <c r="S14" i="1"/>
  <c r="S15" i="1"/>
  <c r="T13" i="1"/>
  <c r="T14" i="1"/>
  <c r="T15" i="1"/>
  <c r="U13" i="1"/>
  <c r="U14" i="1"/>
  <c r="U15" i="1"/>
  <c r="V13" i="1"/>
  <c r="V14" i="1"/>
  <c r="V15" i="1"/>
  <c r="W13" i="1"/>
  <c r="W14" i="1"/>
  <c r="W15" i="1"/>
  <c r="X13" i="1"/>
  <c r="X14" i="1"/>
  <c r="X15" i="1"/>
  <c r="Y13" i="1"/>
  <c r="Y14" i="1"/>
  <c r="Y15" i="1"/>
  <c r="Z13" i="1"/>
  <c r="Z14" i="1"/>
  <c r="Z15" i="1"/>
  <c r="AA13" i="1"/>
  <c r="AA14" i="1"/>
  <c r="AA15" i="1"/>
  <c r="AB13" i="1"/>
  <c r="AB14" i="1"/>
  <c r="AB15" i="1"/>
  <c r="AC13" i="1"/>
  <c r="AC14" i="1"/>
  <c r="AC15" i="1"/>
  <c r="AD13" i="1"/>
  <c r="AD14" i="1"/>
  <c r="AD15" i="1"/>
  <c r="AE13" i="1"/>
  <c r="AE14" i="1"/>
  <c r="AE15" i="1"/>
  <c r="AF13" i="1"/>
  <c r="AF14" i="1"/>
  <c r="AF15" i="1"/>
  <c r="AG13" i="1"/>
  <c r="AG14" i="1"/>
  <c r="AG15" i="1"/>
  <c r="AH13" i="1"/>
  <c r="AH14" i="1"/>
  <c r="AH15" i="1"/>
  <c r="AI13" i="1"/>
  <c r="AI14" i="1"/>
  <c r="AI15" i="1"/>
  <c r="AJ13" i="1"/>
  <c r="AJ14" i="1"/>
  <c r="AJ15" i="1"/>
  <c r="AK13" i="1"/>
  <c r="AK14" i="1"/>
  <c r="AK15" i="1"/>
  <c r="AL13" i="1"/>
  <c r="AL14" i="1"/>
  <c r="AL15" i="1"/>
  <c r="AM13" i="1"/>
  <c r="AM14" i="1"/>
  <c r="AM15" i="1"/>
  <c r="AN13" i="1"/>
  <c r="AN14" i="1"/>
  <c r="AN15" i="1"/>
  <c r="AO13" i="1"/>
  <c r="AO14" i="1"/>
  <c r="AO15" i="1"/>
  <c r="AP13" i="1"/>
  <c r="AP14" i="1"/>
  <c r="AP15" i="1"/>
  <c r="AQ13" i="1"/>
  <c r="AQ14" i="1"/>
  <c r="AQ15" i="1"/>
  <c r="AR13" i="1"/>
  <c r="AR14" i="1"/>
  <c r="AR15" i="1"/>
  <c r="E10" i="8"/>
  <c r="E11" i="8"/>
  <c r="E12" i="8"/>
  <c r="E13" i="8"/>
  <c r="E14" i="8"/>
  <c r="E15" i="8"/>
  <c r="E16" i="8"/>
  <c r="E17" i="8"/>
  <c r="E18" i="8"/>
  <c r="G10" i="8"/>
  <c r="G11" i="8"/>
  <c r="G12" i="8"/>
  <c r="G13" i="8"/>
  <c r="G14" i="8"/>
  <c r="G15" i="8"/>
  <c r="G16" i="8"/>
  <c r="G17" i="8"/>
  <c r="G18" i="8"/>
  <c r="H10" i="8"/>
  <c r="H11" i="8"/>
  <c r="H12" i="8"/>
  <c r="H13" i="8"/>
  <c r="H14" i="8"/>
  <c r="H15" i="8"/>
  <c r="H16" i="8"/>
  <c r="H17" i="8"/>
  <c r="H18" i="8"/>
  <c r="I10" i="8"/>
  <c r="I11" i="8"/>
  <c r="I12" i="8"/>
  <c r="I13" i="8"/>
  <c r="I14" i="8"/>
  <c r="I15" i="8"/>
  <c r="I16" i="8"/>
  <c r="I17" i="8"/>
  <c r="I18" i="8"/>
  <c r="J10" i="8"/>
  <c r="J11" i="8"/>
  <c r="J12" i="8"/>
  <c r="J13" i="8"/>
  <c r="J14" i="8"/>
  <c r="J15" i="8"/>
  <c r="J16" i="8"/>
  <c r="J17" i="8"/>
  <c r="J18" i="8"/>
  <c r="K10" i="8"/>
  <c r="K11" i="8"/>
  <c r="K12" i="8"/>
  <c r="K13" i="8"/>
  <c r="K14" i="8"/>
  <c r="K15" i="8"/>
  <c r="K16" i="8"/>
  <c r="K17" i="8"/>
  <c r="K18" i="8"/>
  <c r="L10" i="8"/>
  <c r="L11" i="8"/>
  <c r="L12" i="8"/>
  <c r="L13" i="8"/>
  <c r="L14" i="8"/>
  <c r="L15" i="8"/>
  <c r="L16" i="8"/>
  <c r="L17" i="8"/>
  <c r="L18" i="8"/>
  <c r="M10" i="8"/>
  <c r="M11" i="8"/>
  <c r="M12" i="8"/>
  <c r="M13" i="8"/>
  <c r="M14" i="8"/>
  <c r="M15" i="8"/>
  <c r="M16" i="8"/>
  <c r="M17" i="8"/>
  <c r="M18" i="8"/>
  <c r="N10" i="8"/>
  <c r="N11" i="8"/>
  <c r="N12" i="8"/>
  <c r="N13" i="8"/>
  <c r="N14" i="8"/>
  <c r="N15" i="8"/>
  <c r="N16" i="8"/>
  <c r="N17" i="8"/>
  <c r="N18" i="8"/>
  <c r="O10" i="8"/>
  <c r="O11" i="8"/>
  <c r="O12" i="8"/>
  <c r="O13" i="8"/>
  <c r="O14" i="8"/>
  <c r="O15" i="8"/>
  <c r="O16" i="8"/>
  <c r="O17" i="8"/>
  <c r="O18" i="8"/>
  <c r="P10" i="8"/>
  <c r="P11" i="8"/>
  <c r="P12" i="8"/>
  <c r="P13" i="8"/>
  <c r="P14" i="8"/>
  <c r="P15" i="8"/>
  <c r="P16" i="8"/>
  <c r="P17" i="8"/>
  <c r="P18" i="8"/>
  <c r="Q10" i="8"/>
  <c r="Q11" i="8"/>
  <c r="Q12" i="8"/>
  <c r="Q13" i="8"/>
  <c r="Q14" i="8"/>
  <c r="Q15" i="8"/>
  <c r="Q16" i="8"/>
  <c r="Q17" i="8"/>
  <c r="Q18" i="8"/>
  <c r="R10" i="8"/>
  <c r="R11" i="8"/>
  <c r="R12" i="8"/>
  <c r="R13" i="8"/>
  <c r="R14" i="8"/>
  <c r="R15" i="8"/>
  <c r="R16" i="8"/>
  <c r="R17" i="8"/>
  <c r="R18" i="8"/>
  <c r="S10" i="8"/>
  <c r="S11" i="8"/>
  <c r="S12" i="8"/>
  <c r="S13" i="8"/>
  <c r="S14" i="8"/>
  <c r="S15" i="8"/>
  <c r="S16" i="8"/>
  <c r="S17" i="8"/>
  <c r="S18" i="8"/>
  <c r="T10" i="8"/>
  <c r="T11" i="8"/>
  <c r="T12" i="8"/>
  <c r="T13" i="8"/>
  <c r="T14" i="8"/>
  <c r="T15" i="8"/>
  <c r="T16" i="8"/>
  <c r="T17" i="8"/>
  <c r="T18" i="8"/>
  <c r="U10" i="8"/>
  <c r="U11" i="8"/>
  <c r="U12" i="8"/>
  <c r="U13" i="8"/>
  <c r="U14" i="8"/>
  <c r="U15" i="8"/>
  <c r="U16" i="8"/>
  <c r="U17" i="8"/>
  <c r="U18" i="8"/>
  <c r="V10" i="8"/>
  <c r="V11" i="8"/>
  <c r="V12" i="8"/>
  <c r="V13" i="8"/>
  <c r="V14" i="8"/>
  <c r="V15" i="8"/>
  <c r="V16" i="8"/>
  <c r="V17" i="8"/>
  <c r="V18" i="8"/>
  <c r="W10" i="8"/>
  <c r="W11" i="8"/>
  <c r="W12" i="8"/>
  <c r="W13" i="8"/>
  <c r="W14" i="8"/>
  <c r="W15" i="8"/>
  <c r="W16" i="8"/>
  <c r="W17" i="8"/>
  <c r="W18" i="8"/>
  <c r="X10" i="8"/>
  <c r="X11" i="8"/>
  <c r="X12" i="8"/>
  <c r="X13" i="8"/>
  <c r="X14" i="8"/>
  <c r="X15" i="8"/>
  <c r="X16" i="8"/>
  <c r="X17" i="8"/>
  <c r="X18" i="8"/>
  <c r="Y10" i="8"/>
  <c r="Y11" i="8"/>
  <c r="Y12" i="8"/>
  <c r="Y13" i="8"/>
  <c r="Y14" i="8"/>
  <c r="Y15" i="8"/>
  <c r="Y16" i="8"/>
  <c r="Y17" i="8"/>
  <c r="Y18" i="8"/>
  <c r="E6" i="8"/>
  <c r="E7" i="8"/>
  <c r="E8" i="8"/>
  <c r="E9" i="8"/>
  <c r="G6" i="8"/>
  <c r="G7" i="8"/>
  <c r="G8" i="8"/>
  <c r="G9" i="8"/>
  <c r="H6" i="8"/>
  <c r="H7" i="8"/>
  <c r="H8" i="8"/>
  <c r="H9" i="8"/>
  <c r="I6" i="8"/>
  <c r="I7" i="8"/>
  <c r="I8" i="8"/>
  <c r="I9" i="8"/>
  <c r="J6" i="8"/>
  <c r="J7" i="8"/>
  <c r="J8" i="8"/>
  <c r="J9" i="8"/>
  <c r="K6" i="8"/>
  <c r="K7" i="8"/>
  <c r="K8" i="8"/>
  <c r="K9" i="8"/>
  <c r="L6" i="8"/>
  <c r="L7" i="8"/>
  <c r="L8" i="8"/>
  <c r="L9" i="8"/>
  <c r="M6" i="8"/>
  <c r="M7" i="8"/>
  <c r="M8" i="8"/>
  <c r="M9" i="8"/>
  <c r="N6" i="8"/>
  <c r="N7" i="8"/>
  <c r="N8" i="8"/>
  <c r="N9" i="8"/>
  <c r="O6" i="8"/>
  <c r="O7" i="8"/>
  <c r="O8" i="8"/>
  <c r="O9" i="8"/>
  <c r="P6" i="8"/>
  <c r="P7" i="8"/>
  <c r="P8" i="8"/>
  <c r="P9" i="8"/>
  <c r="Q6" i="8"/>
  <c r="Q7" i="8"/>
  <c r="Q8" i="8"/>
  <c r="Q9" i="8"/>
  <c r="R6" i="8"/>
  <c r="R7" i="8"/>
  <c r="R8" i="8"/>
  <c r="R9" i="8"/>
  <c r="S6" i="8"/>
  <c r="S7" i="8"/>
  <c r="S8" i="8"/>
  <c r="S9" i="8"/>
  <c r="T6" i="8"/>
  <c r="T7" i="8"/>
  <c r="T8" i="8"/>
  <c r="T9" i="8"/>
  <c r="U6" i="8"/>
  <c r="U7" i="8"/>
  <c r="U8" i="8"/>
  <c r="U9" i="8"/>
  <c r="V6" i="8"/>
  <c r="V7" i="8"/>
  <c r="V8" i="8"/>
  <c r="V9" i="8"/>
  <c r="W6" i="8"/>
  <c r="W7" i="8"/>
  <c r="W8" i="8"/>
  <c r="W9" i="8"/>
  <c r="X6" i="8"/>
  <c r="X7" i="8"/>
  <c r="X8" i="8"/>
  <c r="X9" i="8"/>
  <c r="Y6" i="8"/>
  <c r="Y7" i="8"/>
  <c r="Y8" i="8"/>
  <c r="Y9" i="8"/>
  <c r="E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E7" i="1"/>
  <c r="E8" i="1"/>
  <c r="E9" i="1"/>
  <c r="E10" i="1"/>
  <c r="E11" i="1"/>
  <c r="G10" i="1"/>
  <c r="G11" i="1"/>
  <c r="H10" i="1"/>
  <c r="H11" i="1"/>
  <c r="I10" i="1"/>
  <c r="I11" i="1"/>
  <c r="J10" i="1"/>
  <c r="J11" i="1"/>
  <c r="K10" i="1"/>
  <c r="K11" i="1"/>
  <c r="L10" i="1"/>
  <c r="L11" i="1"/>
  <c r="M10" i="1"/>
  <c r="M11" i="1"/>
  <c r="N10" i="1"/>
  <c r="N11" i="1"/>
  <c r="O10" i="1"/>
  <c r="O11" i="1"/>
  <c r="P10" i="1"/>
  <c r="P11" i="1"/>
  <c r="Q10" i="1"/>
  <c r="Q11" i="1"/>
  <c r="R10" i="1"/>
  <c r="R11" i="1"/>
  <c r="S10" i="1"/>
  <c r="S11" i="1"/>
  <c r="T10" i="1"/>
  <c r="T11" i="1"/>
  <c r="U10" i="1"/>
  <c r="U11" i="1"/>
  <c r="V10" i="1"/>
  <c r="V11" i="1"/>
  <c r="W10" i="1"/>
  <c r="W11" i="1"/>
  <c r="X10" i="1"/>
  <c r="X11" i="1"/>
  <c r="Y10" i="1"/>
  <c r="Y11" i="1"/>
  <c r="Z10" i="1"/>
  <c r="Z11" i="1"/>
  <c r="AA10" i="1"/>
  <c r="AA11" i="1"/>
  <c r="AB10" i="1"/>
  <c r="AB11" i="1"/>
  <c r="AC10" i="1"/>
  <c r="AC11" i="1"/>
  <c r="AD10" i="1"/>
  <c r="AD11" i="1"/>
  <c r="AE10" i="1"/>
  <c r="AE11" i="1"/>
  <c r="AF10" i="1"/>
  <c r="AF11" i="1"/>
  <c r="AG10" i="1"/>
  <c r="AG11" i="1"/>
  <c r="AH10" i="1"/>
  <c r="AH11" i="1"/>
  <c r="AI10" i="1"/>
  <c r="AI11" i="1"/>
  <c r="AJ10" i="1"/>
  <c r="AJ11" i="1"/>
  <c r="AK10" i="1"/>
  <c r="AK11" i="1"/>
  <c r="AL10" i="1"/>
  <c r="AL11" i="1"/>
  <c r="AM10" i="1"/>
  <c r="AM11" i="1"/>
  <c r="AN10" i="1"/>
  <c r="AN11" i="1"/>
  <c r="AO10" i="1"/>
  <c r="AO11" i="1"/>
  <c r="AP10" i="1"/>
  <c r="AP11" i="1"/>
  <c r="AQ10" i="1"/>
  <c r="AQ11" i="1"/>
  <c r="AR10" i="1"/>
  <c r="AR11" i="1"/>
  <c r="G9" i="1"/>
  <c r="H9" i="1"/>
  <c r="I9" i="1"/>
  <c r="J9" i="1"/>
  <c r="K9" i="1"/>
  <c r="L9" i="1"/>
  <c r="M9" i="1"/>
  <c r="N9" i="1"/>
  <c r="O9" i="1"/>
  <c r="P9" i="1"/>
  <c r="Q9" i="1"/>
  <c r="R9" i="1"/>
  <c r="S9" i="1"/>
  <c r="T9" i="1"/>
  <c r="U9" i="1"/>
  <c r="V9" i="1"/>
  <c r="W9" i="1"/>
  <c r="X9" i="1"/>
  <c r="Y9" i="1"/>
  <c r="Z9" i="1"/>
  <c r="AA9" i="1"/>
  <c r="AB9" i="1"/>
  <c r="AC9" i="1"/>
  <c r="AD9" i="1"/>
  <c r="AE9" i="1"/>
  <c r="AF9" i="1"/>
  <c r="AG9" i="1"/>
  <c r="AH9" i="1"/>
  <c r="AI9" i="1"/>
  <c r="AJ9" i="1"/>
  <c r="AK9" i="1"/>
  <c r="AL9" i="1"/>
  <c r="AM9" i="1"/>
  <c r="AN9" i="1"/>
  <c r="AO9" i="1"/>
  <c r="AP9" i="1"/>
  <c r="AQ9" i="1"/>
  <c r="AR9" i="1"/>
  <c r="G8" i="1"/>
  <c r="H8" i="1"/>
  <c r="I8" i="1"/>
  <c r="J8" i="1"/>
  <c r="K8" i="1"/>
  <c r="L8" i="1"/>
  <c r="M8" i="1"/>
  <c r="N8" i="1"/>
  <c r="O8" i="1"/>
  <c r="P8" i="1"/>
  <c r="Q8" i="1"/>
  <c r="R8" i="1"/>
  <c r="S8" i="1"/>
  <c r="T8" i="1"/>
  <c r="U8" i="1"/>
  <c r="V8" i="1"/>
  <c r="W8" i="1"/>
  <c r="X8" i="1"/>
  <c r="Y8" i="1"/>
  <c r="Z8" i="1"/>
  <c r="AA8" i="1"/>
  <c r="AB8" i="1"/>
  <c r="AC8" i="1"/>
  <c r="AD8" i="1"/>
  <c r="AE8" i="1"/>
  <c r="AF8" i="1"/>
  <c r="AG8" i="1"/>
  <c r="AH8" i="1"/>
  <c r="AI8" i="1"/>
  <c r="AJ8" i="1"/>
  <c r="AK8" i="1"/>
  <c r="AL8" i="1"/>
  <c r="AM8" i="1"/>
  <c r="AN8" i="1"/>
  <c r="AO8" i="1"/>
  <c r="AP8" i="1"/>
  <c r="AQ8" i="1"/>
  <c r="AR8" i="1"/>
  <c r="AN7" i="1"/>
  <c r="G7" i="1"/>
  <c r="H7" i="1"/>
  <c r="I7" i="1"/>
  <c r="J7" i="1"/>
  <c r="K7" i="1"/>
  <c r="L7" i="1"/>
  <c r="M7" i="1"/>
  <c r="N7" i="1"/>
  <c r="O7" i="1"/>
  <c r="P7" i="1"/>
  <c r="Q7" i="1"/>
  <c r="R7" i="1"/>
  <c r="S7" i="1"/>
  <c r="T7" i="1"/>
  <c r="U7" i="1"/>
  <c r="V7" i="1"/>
  <c r="W7" i="1"/>
  <c r="X7" i="1"/>
  <c r="Y7" i="1"/>
  <c r="Z7" i="1"/>
  <c r="AA7" i="1"/>
  <c r="AB7" i="1"/>
  <c r="AC7" i="1"/>
  <c r="AD7" i="1"/>
  <c r="AE7" i="1"/>
  <c r="AF7" i="1"/>
  <c r="AG7" i="1"/>
  <c r="AH7" i="1"/>
  <c r="AI7" i="1"/>
  <c r="AJ7" i="1"/>
  <c r="AK7" i="1"/>
  <c r="AL7" i="1"/>
  <c r="AM7" i="1"/>
  <c r="AO7" i="1"/>
  <c r="AP7" i="1"/>
  <c r="AQ7" i="1"/>
  <c r="AR7" i="1"/>
  <c r="B2" i="6"/>
  <c r="B3" i="6"/>
  <c r="B4" i="6"/>
  <c r="B5" i="6"/>
  <c r="B6" i="6"/>
  <c r="B7" i="6"/>
  <c r="B8" i="6"/>
  <c r="B9" i="6"/>
  <c r="B10" i="6"/>
  <c r="B11" i="6"/>
  <c r="B12" i="6"/>
  <c r="B13" i="6"/>
  <c r="B14" i="6"/>
  <c r="B15" i="6"/>
  <c r="B1" i="6"/>
</calcChain>
</file>

<file path=xl/sharedStrings.xml><?xml version="1.0" encoding="utf-8"?>
<sst xmlns="http://schemas.openxmlformats.org/spreadsheetml/2006/main" count="1051" uniqueCount="374">
  <si>
    <t>Case ID</t>
  </si>
  <si>
    <t>Interview Type</t>
  </si>
  <si>
    <t>Business Group</t>
  </si>
  <si>
    <t>Shop ID</t>
  </si>
  <si>
    <t>Subject Id</t>
  </si>
  <si>
    <t>Subject Type</t>
  </si>
  <si>
    <t>Subject Name</t>
  </si>
  <si>
    <t>Subject Address</t>
  </si>
  <si>
    <t>Subject City</t>
  </si>
  <si>
    <t>Subject State</t>
  </si>
  <si>
    <t>Subject Zip Code</t>
  </si>
  <si>
    <t>Subject Country</t>
  </si>
  <si>
    <t>Final Pass Fail</t>
  </si>
  <si>
    <t>Results of Mystery Shop</t>
  </si>
  <si>
    <t>Date of shop:</t>
  </si>
  <si>
    <t>Time shop started:</t>
  </si>
  <si>
    <t>Time shop ended:</t>
  </si>
  <si>
    <t>Time zone of location shopped:</t>
  </si>
  <si>
    <t>Scenario used:</t>
  </si>
  <si>
    <t>Have you ever been to this location before?</t>
  </si>
  <si>
    <t>If YES, did you conduct a transaction (either sending or receiving)?</t>
  </si>
  <si>
    <t>1.  Were there any customers ahead of you?</t>
  </si>
  <si>
    <t>1a.  If YES, please specify how many customers were ahead of you in line.</t>
  </si>
  <si>
    <t>2.  Name of the FLA who assisted you:</t>
  </si>
  <si>
    <t>2a.  Gender of FLA:</t>
  </si>
  <si>
    <t>2b.  Ethnicity of FLA:</t>
  </si>
  <si>
    <t>2c.  Additional description of the FLA:</t>
  </si>
  <si>
    <t>3.  When you asked if you could send a transaction without an ID, did the FLA guide you on how you could send a transaction in order to avoid the ID requirement?</t>
  </si>
  <si>
    <t>3a.  If YES, please specify what the FLA said.</t>
  </si>
  <si>
    <t>4. When you stated that you did not have an ID, please specify how the FLA responded.</t>
  </si>
  <si>
    <t>5. Did the FLA ask for assistance from anyone at the location while assisting you?</t>
  </si>
  <si>
    <t>5a.  If YES, please specify his/her name (and/or title):</t>
  </si>
  <si>
    <t>5b.  Gender of second FLA:</t>
  </si>
  <si>
    <t>5c.  Ethnicity of FLA:</t>
  </si>
  <si>
    <t>5d. Additional description of the FLA:</t>
  </si>
  <si>
    <t>6.  Please specify how the second FLA assisted.</t>
  </si>
  <si>
    <t>7.  Please detail your entire interaction here, from the time you enter the location to the time you left.</t>
  </si>
  <si>
    <t>8.  Did this location pass or fail?</t>
  </si>
  <si>
    <t>9.  Was the required state sign displayed at the location?</t>
  </si>
  <si>
    <t>9a.  If NO, please specify what was missing.</t>
  </si>
  <si>
    <t>10.  Were there any WU Marketing Materials in any language other than English and/or Spanish?</t>
  </si>
  <si>
    <t>10a.  If Yes, please specify what language was used.</t>
  </si>
  <si>
    <t>11. Were there any Agent created signs referencing additional fees beyond approved Western Union Fees?</t>
  </si>
  <si>
    <t>11a. If YES, please provide specific details of the sign, including what the sign said.</t>
  </si>
  <si>
    <t>MYSTERY SHOP - NON SWB V1.0</t>
  </si>
  <si>
    <t>GFO</t>
  </si>
  <si>
    <t>Agent Location</t>
  </si>
  <si>
    <t>EVALUATION_ID</t>
  </si>
  <si>
    <t>LOCATION_ID</t>
  </si>
  <si>
    <t>LOCATION_NAME</t>
  </si>
  <si>
    <t>LOCATION_ADDRESS1</t>
  </si>
  <si>
    <t>LOCATION_CITY</t>
  </si>
  <si>
    <t>LOCATION_STATE</t>
  </si>
  <si>
    <t>LOCATION_ZIP</t>
  </si>
  <si>
    <t>LOCATION_COUNTRY</t>
  </si>
  <si>
    <t>AUTOFILL: Did this location pass or fail?</t>
  </si>
  <si>
    <t>Date of Evaluation:</t>
  </si>
  <si>
    <t>Time visit began:</t>
  </si>
  <si>
    <t>Agent ID</t>
  </si>
  <si>
    <t>Time visit ended:</t>
  </si>
  <si>
    <t>Scenario Used:</t>
  </si>
  <si>
    <t>Name of the FLA who assisted you:</t>
  </si>
  <si>
    <t>Gender of FLA:</t>
  </si>
  <si>
    <t>Additional description of the FLA:&lt;br&gt;(Height, Hair color/length, glasses/no glasses, approx. age)</t>
  </si>
  <si>
    <t>Shop View Link</t>
  </si>
  <si>
    <t>7a.  Please detail what the Agent said when you explained you had your ID, but didn't want to show it.</t>
  </si>
  <si>
    <t>9. Did the FLA ask for assistance from anyone at the location while assisting you?</t>
  </si>
  <si>
    <t>9a. If YES, please specify his/her name (and/or title):</t>
  </si>
  <si>
    <t>9b. Description of second FLA who assisted you (gender, age range, height, race, hair color):</t>
  </si>
  <si>
    <t>9c. Please specify how the second FLA assisted.</t>
  </si>
  <si>
    <t>11. Was the required state sign / license displayed at the location?</t>
  </si>
  <si>
    <t>15. Were there any signage, informational or promotional materials displayed in the location (inside/outside) or given/shown to you by the Agent?</t>
  </si>
  <si>
    <t>10. Please detail your entire interaction here, from the time you were greeted to the time you left. Be sure to include exactly what you said and how they responded. Please make sure to include if you confirmed if the employee is a Western Union agent.&lt;b&gt;Por favor, detalhe toda a sua interaÃ§Ã£o aqui, do momento em que vocÃª foi recebido atÃ© o momento que vocÃª deixou o local.Se certifique de incluir exatamente o que vocÃª disse e como eles responderam.</t>
  </si>
  <si>
    <t>15a. If yes, Please indicate if the materials included any of the following.</t>
  </si>
  <si>
    <t>Compliance</t>
  </si>
  <si>
    <t>Reliability</t>
  </si>
  <si>
    <t>Convenience</t>
  </si>
  <si>
    <t>Empathy and Professionalism</t>
  </si>
  <si>
    <t>Safety</t>
  </si>
  <si>
    <t>LocYTD Avg</t>
  </si>
  <si>
    <t>AUTOFILL: Vendor Escalation?</t>
  </si>
  <si>
    <t>Time shop performed:</t>
  </si>
  <si>
    <t>Day of the week shop performed:</t>
  </si>
  <si>
    <t>In what language was this shop performed?</t>
  </si>
  <si>
    <t>Scenario:</t>
  </si>
  <si>
    <t>Evaluator gender:</t>
  </si>
  <si>
    <t>General physical description of Evaluator (Please include clothing, ethnicity, approx age, height, hair color and length):</t>
  </si>
  <si>
    <t>Date and time Evaluator called location to verify Western Union services are currently offered and operational (if no phone number then when reviewed the information in wu.com)</t>
  </si>
  <si>
    <t>Name of FLA (Customer Service Associate) who assisted you:</t>
  </si>
  <si>
    <t>In what manner was the name of the FLA obtained?</t>
  </si>
  <si>
    <t>Additional description of FLA (Please include clothing, ethnicity, approx age, height, hair color and length):</t>
  </si>
  <si>
    <t>1.1 Please provide a detailed narrative explaining why you were unable to complete the shop.</t>
  </si>
  <si>
    <t>2. Did the Agent agree to do the transaction based off the scenario you presented?</t>
  </si>
  <si>
    <t>In your Local Language- Please detail your entire interaction here, from the time you were greeted to the time you left. Be sure to include exactly what you said and how they responded. Be sure to include the details required as shown in the guidelines. Also, include how you obtained the name of the FLA if it was provided(verbally, nametag, etc):</t>
  </si>
  <si>
    <t>Visit Status</t>
  </si>
  <si>
    <t>Uns. reason</t>
  </si>
  <si>
    <t>Evaluation ID</t>
  </si>
  <si>
    <t>Evaluation Date</t>
  </si>
  <si>
    <t>Evaluation Score</t>
  </si>
  <si>
    <t>Location ID</t>
  </si>
  <si>
    <t>Evaluation Status</t>
  </si>
  <si>
    <t>1. Were you successfully able to complete this shop? (e.g. send the money, receive the money?)</t>
  </si>
  <si>
    <t>Yes</t>
  </si>
  <si>
    <t>No</t>
  </si>
  <si>
    <t>Male</t>
  </si>
  <si>
    <t>NA</t>
  </si>
  <si>
    <t>Pass</t>
  </si>
  <si>
    <t>Please detail your entire interaction here, from the time you were greeted to the time you left. Be sure to include exactly what you said and how they responded. Be sure to include the details required as shown in the guidelines. Also, include how you obtained the name of the FLA if it was provided(verbally, nametag, etc): (DQ TRANSALATE TO ENGLISH IF NEEDED)</t>
  </si>
  <si>
    <t>Picture of Front Window (With Western Union/Vigo/Orlandi Valuta signage and branding Visible)</t>
  </si>
  <si>
    <t>Month_Year</t>
  </si>
  <si>
    <t>Avail. Analysis</t>
  </si>
  <si>
    <t>Escalated?</t>
  </si>
  <si>
    <t>Pass/Fail</t>
  </si>
  <si>
    <t>Net ID</t>
  </si>
  <si>
    <t>Duplicate</t>
  </si>
  <si>
    <t>F1</t>
  </si>
  <si>
    <t>Human Smuggling - Receive</t>
  </si>
  <si>
    <t>Agent_ID</t>
  </si>
  <si>
    <t>NICARAGUA</t>
  </si>
  <si>
    <t>Unknown.</t>
  </si>
  <si>
    <t>Human Smuggling- Send</t>
  </si>
  <si>
    <t>Female</t>
  </si>
  <si>
    <t>Fail</t>
  </si>
  <si>
    <t>N/A</t>
  </si>
  <si>
    <t>Unknown</t>
  </si>
  <si>
    <t>ID Requirement</t>
  </si>
  <si>
    <t>Posters, flyers, decals, other printed material</t>
  </si>
  <si>
    <t>DOMINICAN REPUBLIC</t>
  </si>
  <si>
    <t>SAN SALVADOR</t>
  </si>
  <si>
    <t>EL SALVADOR</t>
  </si>
  <si>
    <t>TEGUCIGALPA</t>
  </si>
  <si>
    <t>HONDURAS</t>
  </si>
  <si>
    <t>JAMAICA</t>
  </si>
  <si>
    <t>MEXICO</t>
  </si>
  <si>
    <t>MX. ID Requirements- Receive</t>
  </si>
  <si>
    <t>MONTERREY</t>
  </si>
  <si>
    <t>Nuevo Leon</t>
  </si>
  <si>
    <t>MX. ID Requirements-Send</t>
  </si>
  <si>
    <t>DIAZ MIRON 104</t>
  </si>
  <si>
    <t>LEON</t>
  </si>
  <si>
    <t>Guanajuato</t>
  </si>
  <si>
    <t>Pink blouse, black sweater, and denim pants. 40 years old, 5'4'' tall, blonde shoulder-length hair.</t>
  </si>
  <si>
    <t>My experience was neutral, as I was unable to present the scenario at the assigned venue.</t>
  </si>
  <si>
    <t>DE LA FARMACIA TIPITAPA 1 CUADRA ARRIBA</t>
  </si>
  <si>
    <t>TIPITAPA</t>
  </si>
  <si>
    <t>White blouse with FAMA logo and black pants. Brunette, 30 years old, 4' 11'' tall, medium long dark wavy hair.</t>
  </si>
  <si>
    <t>The FLA told me that if I did not present my ID, she would not be able to help me with the transaction.</t>
  </si>
  <si>
    <t>FLA treated me kindly throughout the entire service. She did not allow me to complete the transaction without presenting my ID.</t>
  </si>
  <si>
    <t>CALLE 5 DE NOVIEMBRE Y AV JUNA BERTIS</t>
  </si>
  <si>
    <t>Yanis.</t>
  </si>
  <si>
    <t>Pharmacy uniform, 30 years old, 5'4'' tall, short black hair.</t>
  </si>
  <si>
    <t>Posters, flyers, decals, other printed material | Branded digital screen | Countertop poster holders | Brochure or card holders | Exchange Rate/FX Poster | Digital signs</t>
  </si>
  <si>
    <t>FLA responded that without an ID, she could not help me process the transaction because it was not allowed and also not legal.</t>
  </si>
  <si>
    <t>At no time did the FLA accept my request. It was evident that she was well-trained and had extensive knowledge of fraud risks.</t>
  </si>
  <si>
    <t>HILDA MAUD HABERDASHERY</t>
  </si>
  <si>
    <t>SHOP 1 HILDA MAUD PLAZA</t>
  </si>
  <si>
    <t>YALLAHS</t>
  </si>
  <si>
    <t>Saint Thom</t>
  </si>
  <si>
    <t>Blue and white blouse, 45 years old, 5' 5'' tall, black short hair.</t>
  </si>
  <si>
    <t>FLA told me that it was mandatory to present an ID. She mentioned that processing the transaction without an ID could be a scam.</t>
  </si>
  <si>
    <t>My experience was neutral because the location was easy to find, as I am very familiar with the area, and I could easily identify it.</t>
  </si>
  <si>
    <t>WM MC MXM ESCAZU</t>
  </si>
  <si>
    <t>DENTRO MASXMENOS CONTIGUO SCOTIABANK</t>
  </si>
  <si>
    <t>ESCAZU</t>
  </si>
  <si>
    <t>COSTA RICA</t>
  </si>
  <si>
    <t>The Mas X Menos supermarket and Western Union services are not located at the given address.</t>
  </si>
  <si>
    <t>WM MC MXM DESAMPARADOS</t>
  </si>
  <si>
    <t>DENTRO DE MXM DESAMPARADOS</t>
  </si>
  <si>
    <t>DESAMPARADOS</t>
  </si>
  <si>
    <t>Supermarket uniform, 40 years old, 5' 9'' tall, short brown hair.</t>
  </si>
  <si>
    <t>Exchange Rate/FX Poster</t>
  </si>
  <si>
    <t>FLA told me that the request was suspicious and to find out well before making any money transfers.</t>
  </si>
  <si>
    <t>FLA immediately realized that the scenario was suspicious and chose not to proceed with the transaction.</t>
  </si>
  <si>
    <t>CARIBE EXPRESS BANCO CARIBE VI</t>
  </si>
  <si>
    <t>AV HERMANAS MIRABAL 387</t>
  </si>
  <si>
    <t>SANTO DOMINGO NORTE</t>
  </si>
  <si>
    <t>White shirt, navy blue jacket. 35 years old, 5' 4'' tall, short brown hair.</t>
  </si>
  <si>
    <t>FLA told me that the money could be received, that there was no problem.</t>
  </si>
  <si>
    <t>My experience was neutral, however, FLA was not able to warn me of the possible scam.</t>
  </si>
  <si>
    <t>OXXO CLINICA 53 BJX</t>
  </si>
  <si>
    <t>BOLEVARD JUAN JOSE TORRES LANDA5306 LOCA</t>
  </si>
  <si>
    <t>Ana María.</t>
  </si>
  <si>
    <t>Store uniform, 60 years old, long brown hair.</t>
  </si>
  <si>
    <t>FLA told me that it was possible to carry out the transaction without my ID, as only the 16 digits of the card I wanted to transfer to were needed.</t>
  </si>
  <si>
    <t>Man, 26 years old, 5' 7'' tall, brown hair.</t>
  </si>
  <si>
    <t>The Second FLA told the First FLA that Western Union service was available.</t>
  </si>
  <si>
    <t>Although FLA treated me kindly, she was not able to recognize the fraud and told me that it was possible to make the transaction without my ID.</t>
  </si>
  <si>
    <t>OXXO TRINIDAD CUN</t>
  </si>
  <si>
    <t>LAKIN SM 200 MZ 5 LOTE 1104 P Y 201 P</t>
  </si>
  <si>
    <t>CANCUN</t>
  </si>
  <si>
    <t>Quintana R</t>
  </si>
  <si>
    <t>Isaac Martínez.</t>
  </si>
  <si>
    <t>Store uniform, 5' 9'' tall, short black hair.</t>
  </si>
  <si>
    <t>OXXO PAKAL CUN</t>
  </si>
  <si>
    <t>JOSE LOPEZ PORTILLO SM 101 MZA 20 LT 04</t>
  </si>
  <si>
    <t>Store uniform, 30 to 35 years old, 4' 11'' tall, short black hair.</t>
  </si>
  <si>
    <t>The visit was neutral, as I was unable to present the scenario.</t>
  </si>
  <si>
    <t>WM MC MXM SABANA</t>
  </si>
  <si>
    <t>DENTRO DE MXM FRENTE AL HOTEL COROBICI</t>
  </si>
  <si>
    <t>SABANA</t>
  </si>
  <si>
    <t>EKONO SANTA ANA</t>
  </si>
  <si>
    <t>CENTRO DE RICESA 200 OESTE</t>
  </si>
  <si>
    <t>SANTA ANA</t>
  </si>
  <si>
    <t>Short brown hair, 25 years old, store uniform, 5' 3'' tall.</t>
  </si>
  <si>
    <t>FLA was very kind. She told me that she could not help me with the transaction, as it all sounded very strange.</t>
  </si>
  <si>
    <t>FLA provided good service. She was very professional, friendly and gave me recommendations.</t>
  </si>
  <si>
    <t>FICOHSA AGN MALL MULTIPLAZA TG</t>
  </si>
  <si>
    <t>CF MALL MULTIPLAZA COL LOMAS DEL MAYAB</t>
  </si>
  <si>
    <t>Mariela</t>
  </si>
  <si>
    <t>Blue and white shirt, Caucasian, approximately 33 years old, 5'3" tall, dark brown long hair.</t>
  </si>
  <si>
    <t>OXXO MERCADO JUAREZ MTY</t>
  </si>
  <si>
    <t>RUPERTO MARTINEZ155</t>
  </si>
  <si>
    <t>Black jacket, approximately 26 years old, 5'7" tall, slim build, straight black hair tied back, no glasses.</t>
  </si>
  <si>
    <t>The Agent stated that the transaction could not be processed because the identification was required, as the system requested some numbers from the back of it.</t>
  </si>
  <si>
    <t>The experience was positive due to the friendly and professional treatment provided by the Agent.</t>
  </si>
  <si>
    <t>ELEKTRA 210</t>
  </si>
  <si>
    <t>MIGUEL ALEMAN 223 Y 225</t>
  </si>
  <si>
    <t>Bank uniform, 40 years old, tied-back brown hair. Height not estimated as she was seated.</t>
  </si>
  <si>
    <t>FLA told me that no transaction could be made without presenting an ID.</t>
  </si>
  <si>
    <t>FLA assisted me kindly, was knowledgeable about how to process transactions, and did not agree to complete the transaction without an ID.</t>
  </si>
  <si>
    <t>BLVD ADOLFO LOPEZ MATEOS 2009 A</t>
  </si>
  <si>
    <t>Blue t-shirt, 5' 3'' tall, 24 years old, long black hair.</t>
  </si>
  <si>
    <t>FLA said she could only do the transaction with my ID. She said that was the only way she could help me.</t>
  </si>
  <si>
    <t>My experience was positive because the service was quick, and FLA was knowledgeable about how to process transfers and the necessary requirements.</t>
  </si>
  <si>
    <t>OXXO INDUSTRIAL CUN</t>
  </si>
  <si>
    <t>INDUSTRIAL REGION 95 MZA 128 LOTE 16</t>
  </si>
  <si>
    <t>Store uniform, 20 years old, 5 feet 3 inches tall, medium-length black hair.</t>
  </si>
  <si>
    <t>The attention at the branch was agile and focused on service, showing willingness to assist the customer and verify the availability of the service without having to insist on the request.</t>
  </si>
  <si>
    <t>OXXO MULTIPLAZA CUN</t>
  </si>
  <si>
    <t>PROLONGACION KABAH SMZA 229 MZA 55 LOTE</t>
  </si>
  <si>
    <t>Unknwon.</t>
  </si>
  <si>
    <t>Store uniform, 20 years old, 5' 9'' tall, short black hair.</t>
  </si>
  <si>
    <t>FLA told me that he could not perform the transaction without my ID.</t>
  </si>
  <si>
    <t>I believe FLA treated me unkindly, however, he did not agree to conduct the transaction without my ID.</t>
  </si>
  <si>
    <t>OXXO SCHUMANN GDL</t>
  </si>
  <si>
    <t>ROBERT SCHUMANN 5147</t>
  </si>
  <si>
    <t>ZAPOPAN</t>
  </si>
  <si>
    <t>Jalisco</t>
  </si>
  <si>
    <t>Black t-shirt and sweater. 28 years old, short dark brown hair, height not estimated.</t>
  </si>
  <si>
    <t>After hesitating, FLA told me that I could not do the transaction without an ID.</t>
  </si>
  <si>
    <t>FLA was not very attentive while assisting me, however, he told me that he could not perform any transaction without my ID.</t>
  </si>
  <si>
    <t>OXXO PRADOS TEPEYAC GDL</t>
  </si>
  <si>
    <t>XOCHITL AV 4262</t>
  </si>
  <si>
    <t>MX. Bribe- Receive</t>
  </si>
  <si>
    <t>Company uniform, 27 years old, 5'8" tall, straight dark brown hair.</t>
  </si>
  <si>
    <t>FLA told me that it was necessary to present an ID, as it had to be entered into the system.</t>
  </si>
  <si>
    <t>FLA's attention was quick and answered my questions. He did not accept to make the transaction without an ID.</t>
  </si>
  <si>
    <t>OXXO CHAPALITA ORIENTE GDL</t>
  </si>
  <si>
    <t>AV GUADALUPE 1627</t>
  </si>
  <si>
    <t>OXXO uniform. Wheat-colored skin, approximately 60 years old, 5'7" tall, gray short hair.</t>
  </si>
  <si>
    <t>The FLA seemed a bit surprised when I told him I would give him 200 pesos if he allowed me to collect the money without presenting identification. He told me he could not accept that, as it is against policy and I must show my INE.</t>
  </si>
  <si>
    <t>When I asked the FLA if he was authorized to process an Orlandi Valuta transaction, he told me that he didn't know what I was referring to. I explained that they were money transfers, and he said he could process transfers, but he didn't know which companies the transfers were from until he entered the reference in the system, at which point the company name would appear. Otherwise, he wouldn't know. For this reason, I didn't feel like he had much knowledge on the subject.</t>
  </si>
  <si>
    <t>WALDOS CIUDADELA URBAN VILLAGE</t>
  </si>
  <si>
    <t>AV MOCTEZUMA 1437</t>
  </si>
  <si>
    <t>Gray t-shirt and blue denim pants. 45 years old, 6' 3'' tall, short gray hair and mustache.</t>
  </si>
  <si>
    <t>FLA told me that I did need an ID to corroborate the data and enter it into the system. He said a copy of my ID would do.</t>
  </si>
  <si>
    <t>The attention was very good, and he did not accept the transaction without my ID.</t>
  </si>
  <si>
    <t>OXXO GAVIOTA CUN</t>
  </si>
  <si>
    <t>113 MZ 105LOTE 6</t>
  </si>
  <si>
    <t>Mariana Anay Rivera Diaz.</t>
  </si>
  <si>
    <t>Store uniform, 50 years old, 5' 1'' tall, short black hair.</t>
  </si>
  <si>
    <t>FLA told me that she could not process my transaction without my ID.</t>
  </si>
  <si>
    <t>Elizabeth.</t>
  </si>
  <si>
    <t>Woman, 4' 11'' tall, straight black hair.</t>
  </si>
  <si>
    <t>When I inquired about Oralandi Valuta services, the first FLA was unsure, so she turned to her colleague, who immediately advised her and she explained why she required my identification.</t>
  </si>
  <si>
    <t>Both FLAs were willing to answer questions and provide efficient service. Their attitude was proactive.</t>
  </si>
  <si>
    <t>Remarks</t>
  </si>
  <si>
    <t>Mystery Shopping Result ID</t>
  </si>
  <si>
    <t>Business Group Id</t>
  </si>
  <si>
    <t>M250403113616351</t>
  </si>
  <si>
    <t>Case Added Successfully</t>
  </si>
  <si>
    <t>AgentLocation</t>
  </si>
  <si>
    <t>My experience was positive because of the location, as it is accessible and in a safe area. Additionally, the place is spacious and clean.</t>
  </si>
  <si>
    <t>M250403113616353</t>
  </si>
  <si>
    <t>M250403113616354</t>
  </si>
  <si>
    <t>M250403113616355</t>
  </si>
  <si>
    <t>6512 SUR LEON CENTRO  GTO</t>
  </si>
  <si>
    <t>M250403113616356</t>
  </si>
  <si>
    <t>M250403113616358</t>
  </si>
  <si>
    <t>M250403113616359</t>
  </si>
  <si>
    <t>M250403113616360</t>
  </si>
  <si>
    <t>M250403113616361</t>
  </si>
  <si>
    <t>M250403113616363</t>
  </si>
  <si>
    <t>M250403113616364</t>
  </si>
  <si>
    <t>FARMACIA ECONOMICAS LA GARITA</t>
  </si>
  <si>
    <t>M250403113616366</t>
  </si>
  <si>
    <t>M250403113616367</t>
  </si>
  <si>
    <t>FAMA</t>
  </si>
  <si>
    <t>This Location is not a Non SWB Location</t>
  </si>
  <si>
    <t>M250403113616370</t>
  </si>
  <si>
    <t>M250403113616371</t>
  </si>
  <si>
    <t>6502 JARDINES DEL MORAL LEON</t>
  </si>
  <si>
    <t>M250403113616372</t>
  </si>
  <si>
    <t>M250403113616373</t>
  </si>
  <si>
    <t>M250403113616374</t>
  </si>
  <si>
    <t>M250403113616376</t>
  </si>
  <si>
    <t>M250403113616377</t>
  </si>
  <si>
    <t>M250403113616378</t>
  </si>
  <si>
    <t>M250403113616379</t>
  </si>
  <si>
    <t>Evaluation Time</t>
  </si>
  <si>
    <t>Location Name</t>
  </si>
  <si>
    <t>Location Address</t>
  </si>
  <si>
    <t>City</t>
  </si>
  <si>
    <t>State</t>
  </si>
  <si>
    <t>Country</t>
  </si>
  <si>
    <t>Zip</t>
  </si>
  <si>
    <t>Brand</t>
  </si>
  <si>
    <t>Group</t>
  </si>
  <si>
    <t>Were you able to successfully complete your shop?</t>
  </si>
  <si>
    <t>Did you access westernunion.com and call the location to verify location’s address and hours of operation before visiting the location? (Do not call if the evaluation is in Central America, Mexico, Bolivia, Ecuador, and Chile) </t>
  </si>
  <si>
    <t>Please upload a photo of the phone log showing the number dialed for verification. We need to know the date and time of call, so if it isn't clear in your screenshot - ensure you mention it in your narrative e.g. I called WU on Jan 5th at 10:15 am.</t>
  </si>
  <si>
    <t>Date shop performed:</t>
  </si>
  <si>
    <t>Did the agent confirm if this location offers Vigo or Orlandi Valuta (OV) services?</t>
  </si>
  <si>
    <t>EVALUATOR CONFIRMATION OF SCENARIO USED/ATTEMPTED: SCENARIO 1:Lottery or Prize Scam</t>
  </si>
  <si>
    <t>EVALUATOR CONFIRMATION OF SCENARIO USED/ATTEMPTED: SCENARIO 2: Prepayment Scam- Job Processing Fee</t>
  </si>
  <si>
    <t>EVALUATOR CONFIRMATION OF SCENARIO USED/ATTEMPTED: SCENARIO 3: Charity Scam- Humanitarian Help</t>
  </si>
  <si>
    <t>EVALUATOR CONFIRMATION OF SCENARIO USED/ATTEMPTED: SCENARIO 4: Human Smuggling-Receive</t>
  </si>
  <si>
    <t>EVALUATOR CONFIRMATION OF SCENARIO USED/ATTEMPTED: SCENARIO 5: Human Smuggling-Send</t>
  </si>
  <si>
    <t>EVALUATOR CONFIRMATION OF SCENARIO USED/ATTEMPTED: SCENARIO 6: Emergency Scam</t>
  </si>
  <si>
    <t>EVALUATOR CONFIRMATION OF SCENARIO USED/ATTEMPTED: SCENARIO 7: Illegal Gambling-Receive</t>
  </si>
  <si>
    <t>EVALUATOR CONFIRMATION OF SCENARIO USED/ATTEMPTED: SCENARIO 8: Illegal Gambling-Send</t>
  </si>
  <si>
    <t>EVALUATOR CONFIRMATION OF SCENARIO USED/ATTEMPTED: SCENARIO 9: Relationship Scam-Receive</t>
  </si>
  <si>
    <t>EVALUATOR CONFIRMATION OF SCENARIO USED/ATTEMPTED: SCENARIO 10: Relationship Scam- Send</t>
  </si>
  <si>
    <t>EVALUATOR CONFIRMATION OF SCENARIO USED/ATTEMPTED:</t>
  </si>
  <si>
    <t>EVALUATOR CONFIRMATION OF SCENARIO USED/ATTEMPTED: SCENARIO: 12: ID Requirements- Send</t>
  </si>
  <si>
    <t>EVALUATOR CONFIRMATION OF SCENARIO USED/ATTEMPTED: SCENARIO: 13: Extortion</t>
  </si>
  <si>
    <t>EVALUATOR CONFIRMATION OF SCENARIO USED/ATTEMPTED: SCENARIO: MX.1. ID Requirements- Send</t>
  </si>
  <si>
    <t>EVALUATOR CONFIRMATION OF SCENARIO USED/ATTEMPTED: SCENARIO: MX.2. Sending from a list</t>
  </si>
  <si>
    <t>EVALUATOR CONFIRMATION OF SCENARIO USED/ATTEMPTED: SCENARIO: MX.3. Bribe-Receive</t>
  </si>
  <si>
    <t>EVALUATOR CONFIRMATION OF SCENARIO USED/ATTEMPTED:  SCENARIO: MX.4. Bribe-Send</t>
  </si>
  <si>
    <t>EVALUATOR CONFIRMATION OF SCENARIO USED/ATTEMPTED: SCENARIO: MX.5. Human Smuggling-Receive</t>
  </si>
  <si>
    <t>EVALUATOR CONFIRMATION OF SCENARIO USED/ATTEMPTED: SCENARIO: MX.6. Lottery or Prize Scam</t>
  </si>
  <si>
    <t>EVALUATOR CONFIRMATION OF SCENARIO USED/ATTEMPTED: SCENARIO: MX.7. ID Requirements-Receive</t>
  </si>
  <si>
    <t>EVALUATOR CONFIRMATION OF SCENARIO USED/ATTEMPTED: SCENARIO: MX.8. Kidnapping Scam-Receive</t>
  </si>
  <si>
    <t>EVALUATOR CONFIRMATION OF SCENARIO USED/ATTEMPTED: SCENARIO: MX.9: Kidnapping Scam-Send</t>
  </si>
  <si>
    <t>EVALUATOR CONFIRMATION OF SCENARIO USED/ATTEMPTED: SCENARIO: MX.10: Extortion - Fees</t>
  </si>
  <si>
    <t>Did this location pass or fail? (Pass=Didn't agree to do the transaction. Fail= Agreed to do the transaction.)</t>
  </si>
  <si>
    <t>2.1 If yes, did you confirm with the Agent a second time and reiterate the transaction needed?</t>
  </si>
  <si>
    <t>Did FLA agree to complete the transaction when you asked a second time?</t>
  </si>
  <si>
    <t>Please detail how the Agent responded to your transaction request.</t>
  </si>
  <si>
    <t>Did the Agent provide guidance or tools to help you report the potentially fraudulent transaction?</t>
  </si>
  <si>
    <t>Did the Agent say your transaction was illegal or potentially fraudulent?</t>
  </si>
  <si>
    <t>Did the Point of Sale have Fraud materials on display (e.g., fraud brochure, fraud poster, send form warning)?</t>
  </si>
  <si>
    <t>Picture of Front Entry (Location Exterior) (1)</t>
  </si>
  <si>
    <t>Picture of Front Entry (Location Exterior) (2)</t>
  </si>
  <si>
    <t>F2</t>
  </si>
  <si>
    <t>Type of Service</t>
  </si>
  <si>
    <t>Location Type</t>
  </si>
  <si>
    <t>Changed Date</t>
  </si>
  <si>
    <t>Shopper Gender</t>
  </si>
  <si>
    <t>Shopper Ethnicity</t>
  </si>
  <si>
    <t>Date Shop Performed</t>
  </si>
  <si>
    <t>Time Visit Began</t>
  </si>
  <si>
    <t>Time Visit Ended</t>
  </si>
  <si>
    <t>Scenario Used</t>
  </si>
  <si>
    <t>Scenario Detail</t>
  </si>
  <si>
    <t>FLA Name</t>
  </si>
  <si>
    <t>FLA Gender</t>
  </si>
  <si>
    <t>FLA Description</t>
  </si>
  <si>
    <t>Interaction Detail</t>
  </si>
  <si>
    <t>CaseList</t>
  </si>
  <si>
    <t>Raw Data</t>
  </si>
  <si>
    <t>Position</t>
  </si>
  <si>
    <t>EVALUATION_DATE</t>
  </si>
  <si>
    <t>6. Please detail how the Agent responded to your transaction request.</t>
  </si>
  <si>
    <t>Domo Upload Date</t>
  </si>
  <si>
    <t>SOUTHWEST BORDER</t>
  </si>
  <si>
    <t>NON-SOUTHWEST BORDER</t>
  </si>
  <si>
    <t>MYSTERY SHOP - NON SWB V1.1</t>
  </si>
  <si>
    <t>Mystery Shopping</t>
  </si>
  <si>
    <t>NON/SWB</t>
  </si>
  <si>
    <t>MYSTERY SHOP - NON SWB V1.2</t>
  </si>
  <si>
    <t>MYSTERY SHOP - NON SWB V1.3</t>
  </si>
  <si>
    <t>MYSTERY SHOP - NON SWB V1.4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</si>
</sst>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yy;@"/>
    <numFmt numFmtId="165" formatCode="0;[Red]0"/>
  </numFmts>
  <fonts count="11" x14ac:knownFonts="1">
    <font>
      <sz val="11"/>
      <color theme="1"/>
      <name val="Calibri"/>
      <family val="2"/>
      <scheme val="minor"/>
    </font>
    <font>
      <sz val="8"/>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sz val="11"/>
      <color rgb="FF000000"/>
      <name val="Calibri"/>
      <family val="2"/>
    </font>
    <font>
      <sz val="11"/>
      <color rgb="FF000000"/>
      <name val="Calibri"/>
      <family val="2"/>
      <scheme val="minor"/>
    </font>
    <font>
      <b/>
      <sz val="11"/>
      <color rgb="FFFF0000"/>
      <name val="Calibri"/>
      <family val="2"/>
      <scheme val="minor"/>
    </font>
    <font>
      <b/>
      <sz val="16"/>
      <color theme="1"/>
      <name val="Calibri"/>
      <family val="2"/>
      <scheme val="minor"/>
    </font>
    <font>
      <sz val="11"/>
      <name val="Calibri"/>
      <family val="2"/>
      <scheme val="minor"/>
    </font>
    <font>
      <b/>
      <sz val="11"/>
      <name val="Calibri"/>
      <family val="2"/>
      <scheme val="minor"/>
    </font>
  </fonts>
  <fills count="5">
    <fill>
      <patternFill patternType="none"/>
    </fill>
    <fill>
      <patternFill patternType="gray125"/>
    </fill>
    <fill>
      <patternFill patternType="solid">
        <fgColor theme="4" tint="0.59999389629810485"/>
        <bgColor indexed="64"/>
      </patternFill>
    </fill>
    <fill>
      <patternFill patternType="solid">
        <fgColor theme="3" tint="0.59999389629810485"/>
        <bgColor indexed="64"/>
      </patternFill>
    </fill>
    <fill>
      <patternFill patternType="solid">
        <fgColor theme="2"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58">
    <xf numFmtId="0" fontId="0" fillId="0" borderId="0" xfId="0"/>
    <xf numFmtId="0" fontId="0" fillId="0" borderId="0" xfId="0" applyAlignment="1">
      <alignment horizontal="left" vertical="center"/>
    </xf>
    <xf numFmtId="1" fontId="0" fillId="0" borderId="1" xfId="0" applyNumberFormat="1" applyBorder="1"/>
    <xf numFmtId="0" fontId="0" fillId="0" borderId="1" xfId="0" applyBorder="1"/>
    <xf numFmtId="14" fontId="0" fillId="0" borderId="0" xfId="0" applyNumberFormat="1"/>
    <xf numFmtId="0" fontId="2" fillId="2" borderId="1" xfId="0" applyFont="1" applyFill="1" applyBorder="1"/>
    <xf numFmtId="0" fontId="3" fillId="0" borderId="0" xfId="0" applyFont="1"/>
    <xf numFmtId="19" fontId="0" fillId="0" borderId="0" xfId="0" applyNumberFormat="1"/>
    <xf numFmtId="1" fontId="0" fillId="0" borderId="0" xfId="0" applyNumberFormat="1"/>
    <xf numFmtId="14" fontId="0" fillId="0" borderId="1" xfId="0" applyNumberFormat="1" applyBorder="1"/>
    <xf numFmtId="0" fontId="0" fillId="3" borderId="2" xfId="0" applyFill="1" applyBorder="1" applyProtection="1">
      <protection locked="0"/>
    </xf>
    <xf numFmtId="0" fontId="7" fillId="3" borderId="3" xfId="0" applyFont="1" applyFill="1" applyBorder="1"/>
    <xf numFmtId="165" fontId="7" fillId="3" borderId="3" xfId="0" applyNumberFormat="1" applyFont="1" applyFill="1" applyBorder="1" applyProtection="1">
      <protection locked="0"/>
    </xf>
    <xf numFmtId="49" fontId="7" fillId="0" borderId="3" xfId="0" applyNumberFormat="1" applyFont="1" applyBorder="1"/>
    <xf numFmtId="49" fontId="7" fillId="3" borderId="3" xfId="0" applyNumberFormat="1" applyFont="1" applyFill="1" applyBorder="1"/>
    <xf numFmtId="0" fontId="0" fillId="0" borderId="3" xfId="0" applyBorder="1"/>
    <xf numFmtId="0" fontId="0" fillId="0" borderId="3" xfId="0" applyBorder="1" applyAlignment="1" applyProtection="1">
      <alignment wrapText="1"/>
      <protection locked="0"/>
    </xf>
    <xf numFmtId="0" fontId="0" fillId="0" borderId="3" xfId="0" applyBorder="1" applyProtection="1">
      <protection locked="0"/>
    </xf>
    <xf numFmtId="0" fontId="7" fillId="0" borderId="3" xfId="0" applyFont="1" applyBorder="1" applyProtection="1">
      <protection locked="0"/>
    </xf>
    <xf numFmtId="0" fontId="7" fillId="0" borderId="3" xfId="0" applyFont="1" applyBorder="1"/>
    <xf numFmtId="49" fontId="7" fillId="0" borderId="3" xfId="0" applyNumberFormat="1" applyFont="1" applyBorder="1" applyProtection="1">
      <protection locked="0"/>
    </xf>
    <xf numFmtId="0" fontId="7" fillId="0" borderId="3" xfId="0" applyFont="1" applyBorder="1" applyAlignment="1">
      <alignment wrapText="1"/>
    </xf>
    <xf numFmtId="0" fontId="7" fillId="0" borderId="4" xfId="0" applyFont="1" applyBorder="1" applyProtection="1">
      <protection locked="0"/>
    </xf>
    <xf numFmtId="165" fontId="0" fillId="0" borderId="0" xfId="0" applyNumberFormat="1"/>
    <xf numFmtId="49" fontId="0" fillId="0" borderId="0" xfId="0" applyNumberFormat="1"/>
    <xf numFmtId="0" fontId="3" fillId="2" borderId="1" xfId="0" applyFont="1" applyFill="1" applyBorder="1" applyProtection="1">
      <protection locked="0"/>
    </xf>
    <xf numFmtId="49" fontId="2" fillId="0" borderId="1" xfId="0" applyNumberFormat="1" applyFont="1" applyBorder="1"/>
    <xf numFmtId="49" fontId="2" fillId="2" borderId="1" xfId="0" applyNumberFormat="1" applyFont="1" applyFill="1" applyBorder="1"/>
    <xf numFmtId="0" fontId="2" fillId="0" borderId="1" xfId="0" applyFont="1" applyBorder="1"/>
    <xf numFmtId="0" fontId="2" fillId="0" borderId="1" xfId="0" applyFont="1" applyBorder="1" applyAlignment="1" applyProtection="1">
      <alignment wrapText="1"/>
      <protection locked="0"/>
    </xf>
    <xf numFmtId="0" fontId="2" fillId="0" borderId="1" xfId="0" applyFont="1" applyBorder="1" applyProtection="1">
      <protection locked="0"/>
    </xf>
    <xf numFmtId="0" fontId="3" fillId="0" borderId="1" xfId="0" applyFont="1" applyBorder="1" applyProtection="1">
      <protection locked="0"/>
    </xf>
    <xf numFmtId="0" fontId="6" fillId="0" borderId="1" xfId="0" applyFont="1" applyBorder="1"/>
    <xf numFmtId="1" fontId="0" fillId="0" borderId="1" xfId="0" applyNumberFormat="1" applyBorder="1" applyAlignment="1">
      <alignment horizontal="right"/>
    </xf>
    <xf numFmtId="0" fontId="9" fillId="0" borderId="0" xfId="0" applyFont="1" applyAlignment="1">
      <alignment vertical="center"/>
    </xf>
    <xf numFmtId="164" fontId="0" fillId="0" borderId="0" xfId="0" applyNumberFormat="1"/>
    <xf numFmtId="0" fontId="6" fillId="0" borderId="5" xfId="0" applyFont="1" applyBorder="1"/>
    <xf numFmtId="1" fontId="0" fillId="0" borderId="5" xfId="0" applyNumberFormat="1" applyBorder="1" applyAlignment="1">
      <alignment horizontal="right"/>
    </xf>
    <xf numFmtId="1" fontId="0" fillId="0" borderId="5" xfId="0" applyNumberFormat="1" applyBorder="1"/>
    <xf numFmtId="14" fontId="0" fillId="0" borderId="5" xfId="0" applyNumberFormat="1" applyBorder="1"/>
    <xf numFmtId="0" fontId="4" fillId="0" borderId="1" xfId="0" applyFont="1" applyBorder="1"/>
    <xf numFmtId="0" fontId="6" fillId="0" borderId="7" xfId="0" applyFont="1" applyBorder="1"/>
    <xf numFmtId="0" fontId="0" fillId="0" borderId="6" xfId="0" applyBorder="1"/>
    <xf numFmtId="1" fontId="0" fillId="0" borderId="7" xfId="0" applyNumberFormat="1" applyBorder="1"/>
    <xf numFmtId="14" fontId="0" fillId="0" borderId="1" xfId="0" applyNumberFormat="1" applyBorder="1" applyAlignment="1">
      <alignment horizontal="right"/>
    </xf>
    <xf numFmtId="1" fontId="0" fillId="0" borderId="6" xfId="0" applyNumberFormat="1" applyBorder="1" applyAlignment="1">
      <alignment horizontal="right"/>
    </xf>
    <xf numFmtId="0" fontId="4" fillId="0" borderId="5" xfId="0" applyFont="1" applyBorder="1"/>
    <xf numFmtId="0" fontId="8" fillId="4" borderId="0" xfId="0" applyFont="1" applyFill="1" applyAlignment="1">
      <alignment horizontal="center" vertical="center"/>
    </xf>
    <xf numFmtId="0" fontId="4" fillId="0" borderId="0" xfId="0" applyFont="1" applyFill="1"/>
    <xf numFmtId="14" fontId="4" fillId="0" borderId="0" xfId="0" applyNumberFormat="1" applyFont="1" applyFill="1"/>
    <xf numFmtId="1" fontId="4" fillId="0" borderId="0" xfId="0" applyNumberFormat="1" applyFont="1" applyFill="1"/>
    <xf numFmtId="164" fontId="4" fillId="0" borderId="0" xfId="0" applyNumberFormat="1" applyFont="1" applyFill="1"/>
    <xf numFmtId="0" fontId="0" fillId="0" borderId="0" xfId="0" applyFill="1"/>
    <xf numFmtId="0" fontId="4" fillId="0" borderId="0" xfId="0" applyFont="1" applyFill="1" applyAlignment="1">
      <alignment wrapText="1"/>
    </xf>
    <xf numFmtId="0" fontId="10" fillId="0" borderId="0" xfId="0" applyFont="1" applyFill="1" applyAlignment="1">
      <alignment vertical="center"/>
    </xf>
    <xf numFmtId="14" fontId="0" fillId="0" borderId="0" xfId="0" applyNumberFormat="1" applyFill="1"/>
    <xf numFmtId="1" fontId="0" fillId="0" borderId="0" xfId="0" applyNumberFormat="1" applyFill="1"/>
    <xf numFmtId="164" fontId="0" fillId="0" borderId="0" xfId="0" applyNumberFormat="1" applyFill="1"/>
  </cellXfs>
  <cellStyles count="1">
    <cellStyle name="Normal" xfId="0" builtinId="0"/>
  </cellStyles>
  <dxfs count="8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right" vertical="bottom"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9" formatCode="m/d/yyyy"/>
      <fill>
        <patternFill patternType="none">
          <fgColor indexed="64"/>
          <bgColor indexed="65"/>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family val="2"/>
        <scheme val="minor"/>
      </font>
      <fill>
        <patternFill patternType="none">
          <fgColor indexed="64"/>
          <bgColor indexed="65"/>
        </patternFill>
      </fill>
      <border diagonalUp="0" diagonalDown="0" outline="0">
        <left style="thin">
          <color indexed="64"/>
        </left>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color rgb="FF9C0006"/>
      </font>
      <fill>
        <patternFill>
          <bgColor rgb="FFFFC7CE"/>
        </patternFill>
      </fill>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numFmt numFmtId="1" formatCode="0"/>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Calibri"/>
        <family val="2"/>
        <scheme val="minor"/>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border diagonalUp="0" diagonalDown="0" outline="0">
        <left/>
        <right style="thin">
          <color indexed="64"/>
        </right>
        <top style="thin">
          <color indexed="64"/>
        </top>
        <bottom style="thin">
          <color indexed="64"/>
        </bottom>
      </border>
    </dxf>
    <dxf>
      <font>
        <b/>
      </font>
      <numFmt numFmtId="0" formatCode="General"/>
      <border diagonalUp="0" diagonalDown="0" outline="0">
        <left style="thin">
          <color indexed="64"/>
        </left>
        <right style="thin">
          <color indexed="64"/>
        </right>
        <top style="thin">
          <color indexed="64"/>
        </top>
        <bottom style="thin">
          <color indexed="64"/>
        </bottom>
      </border>
    </dxf>
    <dxf>
      <border>
        <bottom style="thin">
          <color indexed="64"/>
        </bottom>
      </border>
    </dxf>
    <dxf>
      <font>
        <b val="0"/>
        <i val="0"/>
        <strike val="0"/>
        <condense val="0"/>
        <extend val="0"/>
        <outline val="0"/>
        <shadow val="0"/>
        <u val="none"/>
        <vertAlign val="baseline"/>
        <sz val="11"/>
        <color theme="0"/>
        <name val="Calibri"/>
        <family val="2"/>
        <scheme val="minor"/>
      </font>
      <border diagonalUp="0" diagonalDown="0">
        <left style="thin">
          <color indexed="64"/>
        </left>
        <right style="thin">
          <color indexed="64"/>
        </right>
        <top/>
        <bottom/>
        <vertical style="thin">
          <color indexed="64"/>
        </vertical>
        <horizontal style="thin">
          <color indexed="64"/>
        </horizontal>
      </border>
      <protection locked="0" hidden="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0</xdr:row>
          <xdr:rowOff>38100</xdr:rowOff>
        </xdr:from>
        <xdr:to>
          <xdr:col>2</xdr:col>
          <xdr:colOff>0</xdr:colOff>
          <xdr:row>4</xdr:row>
          <xdr:rowOff>146050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Import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69850</xdr:rowOff>
        </xdr:from>
        <xdr:to>
          <xdr:col>8</xdr:col>
          <xdr:colOff>107950</xdr:colOff>
          <xdr:row>8</xdr:row>
          <xdr:rowOff>88900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Review Duplicates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westernunion.sharepoint.com/sites/RCSLACATeam/Shared%20Documents/RCS%20Document%20Library/Mystery%20Shopping/Case%20Creation/Templates/Macro_Duplicates.xlsm" TargetMode="External"/><Relationship Id="rId1" Type="http://schemas.openxmlformats.org/officeDocument/2006/relationships/externalLinkPath" Target="Macro_Duplicat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CRO"/>
      <sheetName val="MATCH"/>
      <sheetName val="NO_MATCH"/>
    </sheetNames>
    <definedNames>
      <definedName name="Comparar_Archivos"/>
    </definedNames>
    <sheetDataSet>
      <sheetData sheetId="0"/>
      <sheetData sheetId="1"/>
      <sheetData sheetId="2"/>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763B5F-9368-464F-8C90-43CDA6AABF02}" name="Table1" displayName="Table1" ref="A6:AR15" totalsRowShown="0" headerRowDxfId="83" headerRowBorderDxfId="82">
  <autoFilter ref="A6:AR15" xr:uid="{C57C1C5E-2191-4353-95F0-8DB8EED0C0E8}"/>
  <tableColumns count="44">
    <tableColumn id="1" xr3:uid="{F464553A-341D-4B97-BDEA-E0891ADB820A}" name="Case ID" dataDxfId="81"/>
    <tableColumn id="2" xr3:uid="{C3469A5B-88CE-47CB-A7C6-ED5FF864EE96}" name="Interview Type" dataDxfId="80"/>
    <tableColumn id="3" xr3:uid="{F67CF133-F652-4599-8F67-6F1A46F21F4A}" name="Business Group" dataDxfId="79"/>
    <tableColumn id="4" xr3:uid="{D29B2976-1164-4622-90C4-F32FE5E65F32}" name="Shop ID" dataDxfId="78"/>
    <tableColumn id="5" xr3:uid="{576E00AB-6231-45BF-AE1E-479B822027E4}" name="Subject Id" dataDxfId="77">
      <calculatedColumnFormula>IFERROR(IF(VLOOKUP($D7,'Raw Data'!$B:$DE,VLOOKUP('Non-SWB CaseList'!E$6,'Non-SWB Lists'!$A$1:$C$39,3,FALSE),FALSE)=0,"",VLOOKUP($D7,'Raw Data'!$B:$DE,VLOOKUP('Non-SWB CaseList'!E$6,'Non-SWB Lists'!$A$1:$C$39,3,FALSE),FALSE)),"")</calculatedColumnFormula>
    </tableColumn>
    <tableColumn id="6" xr3:uid="{30DD7E7F-67D4-41E9-8C03-95FA5BB52BC4}" name="Subject Type" dataDxfId="76"/>
    <tableColumn id="7" xr3:uid="{E9BD04FD-7A09-4BFE-A122-01764D767335}" name="Subject Name" dataDxfId="75">
      <calculatedColumnFormula>IFERROR(IF(VLOOKUP($D7,'Raw Data'!$B:$DE,VLOOKUP('Non-SWB CaseList'!G$6,'Non-SWB Lists'!$A$1:$C$39,3,FALSE),FALSE)=0,"",VLOOKUP($D7,'Raw Data'!$B:$DE,VLOOKUP('Non-SWB CaseList'!G$6,'Non-SWB Lists'!$A$1:$C$39,3,FALSE),FALSE)),"")</calculatedColumnFormula>
    </tableColumn>
    <tableColumn id="8" xr3:uid="{C8598932-648F-4239-B560-92397A263785}" name="Subject Address" dataDxfId="74">
      <calculatedColumnFormula>IFERROR(IF(VLOOKUP($D7,'Raw Data'!$B:$DE,VLOOKUP('Non-SWB CaseList'!H$6,'Non-SWB Lists'!$A$1:$C$39,3,FALSE),FALSE)=0,"",VLOOKUP($D7,'Raw Data'!$B:$DE,VLOOKUP('Non-SWB CaseList'!H$6,'Non-SWB Lists'!$A$1:$C$39,3,FALSE),FALSE)),"")</calculatedColumnFormula>
    </tableColumn>
    <tableColumn id="9" xr3:uid="{F36FD9E6-8092-4AD9-BB8D-1053174DA856}" name="Subject City" dataDxfId="73">
      <calculatedColumnFormula>IFERROR(IF(VLOOKUP($D7,'Raw Data'!$B:$DE,VLOOKUP('Non-SWB CaseList'!I$6,'Non-SWB Lists'!$A$1:$C$39,3,FALSE),FALSE)=0,"",VLOOKUP($D7,'Raw Data'!$B:$DE,VLOOKUP('Non-SWB CaseList'!I$6,'Non-SWB Lists'!$A$1:$C$39,3,FALSE),FALSE)),"")</calculatedColumnFormula>
    </tableColumn>
    <tableColumn id="10" xr3:uid="{5333B134-63E2-497F-83F0-8C91DC36CF35}" name="Subject State" dataDxfId="72">
      <calculatedColumnFormula>IFERROR(IF(VLOOKUP($D7,'Raw Data'!$B:$DE,VLOOKUP('Non-SWB CaseList'!J$6,'Non-SWB Lists'!$A$1:$C$39,3,FALSE),FALSE)=0,"",VLOOKUP($D7,'Raw Data'!$B:$DE,VLOOKUP('Non-SWB CaseList'!J$6,'Non-SWB Lists'!$A$1:$C$39,3,FALSE),FALSE)),"")</calculatedColumnFormula>
    </tableColumn>
    <tableColumn id="11" xr3:uid="{8403B22D-84B1-49F2-9E54-24E25A22FCED}" name="Subject Zip Code" dataDxfId="71">
      <calculatedColumnFormula>IFERROR(IF(VLOOKUP($D7,'Raw Data'!$B:$DE,VLOOKUP('Non-SWB CaseList'!K$6,'Non-SWB Lists'!$A$1:$C$39,3,FALSE),FALSE)=0,"",VLOOKUP($D7,'Raw Data'!$B:$DE,VLOOKUP('Non-SWB CaseList'!K$6,'Non-SWB Lists'!$A$1:$C$39,3,FALSE),FALSE)),"")</calculatedColumnFormula>
    </tableColumn>
    <tableColumn id="12" xr3:uid="{947A2618-4203-4952-B812-338C3F53B718}" name="Subject Country" dataDxfId="70">
      <calculatedColumnFormula>IFERROR(IF(VLOOKUP($D7,'Raw Data'!$B:$DE,VLOOKUP('Non-SWB CaseList'!L$6,'Non-SWB Lists'!$A$1:$C$39,3,FALSE),FALSE)=0,"",VLOOKUP($D7,'Raw Data'!$B:$DE,VLOOKUP('Non-SWB CaseList'!L$6,'Non-SWB Lists'!$A$1:$C$39,3,FALSE),FALSE)),"")</calculatedColumnFormula>
    </tableColumn>
    <tableColumn id="13" xr3:uid="{EBA246F8-9B02-4B38-8FCB-259E75823995}" name="Final Pass Fail" dataDxfId="69">
      <calculatedColumnFormula>IFERROR(IF(VLOOKUP($D7,'Raw Data'!$B:$DE,VLOOKUP('Non-SWB CaseList'!M$6,'Non-SWB Lists'!$A$1:$C$39,3,FALSE),FALSE)=0,"",VLOOKUP($D7,'Raw Data'!$B:$DE,VLOOKUP('Non-SWB CaseList'!M$6,'Non-SWB Lists'!$A$1:$C$39,3,FALSE),FALSE)),"")</calculatedColumnFormula>
    </tableColumn>
    <tableColumn id="14" xr3:uid="{80354FDF-21C4-40FE-A2A5-C2B2DE25D2F4}" name="Results of Mystery Shop" dataDxfId="68">
      <calculatedColumnFormula>IFERROR(IF(VLOOKUP($D7,'Raw Data'!$B:$DE,VLOOKUP('Non-SWB CaseList'!N$6,'Non-SWB Lists'!$A$1:$C$39,3,FALSE),FALSE)=0,"",VLOOKUP($D7,'Raw Data'!$B:$DE,VLOOKUP('Non-SWB CaseList'!N$6,'Non-SWB Lists'!$A$1:$C$39,3,FALSE),FALSE)),"")</calculatedColumnFormula>
    </tableColumn>
    <tableColumn id="15" xr3:uid="{4D6816F7-535B-47B8-A396-07E8C7376BEA}" name="Date of shop:" dataDxfId="67">
      <calculatedColumnFormula>IFERROR(IF(VLOOKUP($D7,'Raw Data'!$B:$DE,VLOOKUP('Non-SWB CaseList'!O$6,'Non-SWB Lists'!$A$1:$C$39,3,FALSE),FALSE)=0,"",VLOOKUP($D7,'Raw Data'!$B:$DE,VLOOKUP('Non-SWB CaseList'!O$6,'Non-SWB Lists'!$A$1:$C$39,3,FALSE),FALSE)),"")</calculatedColumnFormula>
    </tableColumn>
    <tableColumn id="16" xr3:uid="{9CBD83CF-512A-4E75-B016-9A4645D3014A}" name="Time shop started:" dataDxfId="66">
      <calculatedColumnFormula>IFERROR(IF(VLOOKUP($D7,'Raw Data'!$B:$DE,VLOOKUP('Non-SWB CaseList'!P$6,'Non-SWB Lists'!$A$1:$C$39,3,FALSE),FALSE)=0,"",VLOOKUP($D7,'Raw Data'!$B:$DE,VLOOKUP('Non-SWB CaseList'!P$6,'Non-SWB Lists'!$A$1:$C$39,3,FALSE),FALSE)),"")</calculatedColumnFormula>
    </tableColumn>
    <tableColumn id="17" xr3:uid="{EFD1B826-2FD2-4E2E-9523-48567E375E9A}" name="Time shop ended:" dataDxfId="65">
      <calculatedColumnFormula>IFERROR(IF(VLOOKUP($D7,'Raw Data'!$B:$DE,VLOOKUP('Non-SWB CaseList'!Q$6,'Non-SWB Lists'!$A$1:$C$39,3,FALSE),FALSE)=0,"",VLOOKUP($D7,'Raw Data'!$B:$DE,VLOOKUP('Non-SWB CaseList'!Q$6,'Non-SWB Lists'!$A$1:$C$39,3,FALSE),FALSE)),"")</calculatedColumnFormula>
    </tableColumn>
    <tableColumn id="18" xr3:uid="{914B3280-2EC1-4FBC-986E-227837F68E7D}" name="Time zone of location shopped:" dataDxfId="64">
      <calculatedColumnFormula>IFERROR(IF(VLOOKUP($D7,'Raw Data'!$B:$DE,VLOOKUP('Non-SWB CaseList'!R$6,'Non-SWB Lists'!$A$1:$C$39,3,FALSE),FALSE)=0,"",VLOOKUP($D7,'Raw Data'!$B:$DE,VLOOKUP('Non-SWB CaseList'!R$6,'Non-SWB Lists'!$A$1:$C$39,3,FALSE),FALSE)),"")</calculatedColumnFormula>
    </tableColumn>
    <tableColumn id="19" xr3:uid="{43573C31-013D-40FE-8458-F1D62FE37349}" name="Scenario used:" dataDxfId="63">
      <calculatedColumnFormula>IFERROR(IF(VLOOKUP($D7,'Raw Data'!$B:$DE,VLOOKUP('Non-SWB CaseList'!S$6,'Non-SWB Lists'!$A$1:$C$39,3,FALSE),FALSE)=0,"",VLOOKUP($D7,'Raw Data'!$B:$DE,VLOOKUP('Non-SWB CaseList'!S$6,'Non-SWB Lists'!$A$1:$C$39,3,FALSE),FALSE)),"")</calculatedColumnFormula>
    </tableColumn>
    <tableColumn id="20" xr3:uid="{F7C55227-E3CE-418D-99CB-493A2B4D9B1F}" name="Have you ever been to this location before?" dataDxfId="62">
      <calculatedColumnFormula>IFERROR(IF(VLOOKUP($D7,'Raw Data'!$B:$DE,VLOOKUP('Non-SWB CaseList'!T$6,'Non-SWB Lists'!$A$1:$C$39,3,FALSE),FALSE)=0,"",VLOOKUP($D7,'Raw Data'!$B:$DE,VLOOKUP('Non-SWB CaseList'!T$6,'Non-SWB Lists'!$A$1:$C$39,3,FALSE),FALSE)),"")</calculatedColumnFormula>
    </tableColumn>
    <tableColumn id="21" xr3:uid="{2ED847DF-9930-4F09-AB10-26C9ACDD9687}" name="If YES, did you conduct a transaction (either sending or receiving)?" dataDxfId="61">
      <calculatedColumnFormula>IFERROR(IF(VLOOKUP($D7,'Raw Data'!$B:$DE,VLOOKUP('Non-SWB CaseList'!U$6,'Non-SWB Lists'!$A$1:$C$39,3,FALSE),FALSE)=0,"",VLOOKUP($D7,'Raw Data'!$B:$DE,VLOOKUP('Non-SWB CaseList'!U$6,'Non-SWB Lists'!$A$1:$C$39,3,FALSE),FALSE)),"")</calculatedColumnFormula>
    </tableColumn>
    <tableColumn id="22" xr3:uid="{5C2E9E18-129D-4D65-A1C3-4D951B5FD463}" name="1.  Were there any customers ahead of you?" dataDxfId="60">
      <calculatedColumnFormula>IFERROR(IF(VLOOKUP($D7,'Raw Data'!$B:$DE,VLOOKUP('Non-SWB CaseList'!V$6,'Non-SWB Lists'!$A$1:$C$39,3,FALSE),FALSE)=0,"",VLOOKUP($D7,'Raw Data'!$B:$DE,VLOOKUP('Non-SWB CaseList'!V$6,'Non-SWB Lists'!$A$1:$C$39,3,FALSE),FALSE)),"")</calculatedColumnFormula>
    </tableColumn>
    <tableColumn id="23" xr3:uid="{E87EF575-4F98-4CA2-8D33-88E03DF21651}" name="1a.  If YES, please specify how many customers were ahead of you in line." dataDxfId="59">
      <calculatedColumnFormula>IFERROR(IF(VLOOKUP($D7,'Raw Data'!$B:$DE,VLOOKUP('Non-SWB CaseList'!W$6,'Non-SWB Lists'!$A$1:$C$39,3,FALSE),FALSE)=0,"",VLOOKUP($D7,'Raw Data'!$B:$DE,VLOOKUP('Non-SWB CaseList'!W$6,'Non-SWB Lists'!$A$1:$C$39,3,FALSE),FALSE)),"")</calculatedColumnFormula>
    </tableColumn>
    <tableColumn id="24" xr3:uid="{B9DD5EC5-7B88-4C14-B64C-04292C945CAA}" name="2.  Name of the FLA who assisted you:" dataDxfId="58">
      <calculatedColumnFormula>IFERROR(IF(VLOOKUP($D7,'Raw Data'!$B:$DE,VLOOKUP('Non-SWB CaseList'!X$6,'Non-SWB Lists'!$A$1:$C$39,3,FALSE),FALSE)=0,"",VLOOKUP($D7,'Raw Data'!$B:$DE,VLOOKUP('Non-SWB CaseList'!X$6,'Non-SWB Lists'!$A$1:$C$39,3,FALSE),FALSE)),"")</calculatedColumnFormula>
    </tableColumn>
    <tableColumn id="25" xr3:uid="{DD520A81-B97C-44CA-A265-5060CD159E39}" name="2a.  Gender of FLA:" dataDxfId="57">
      <calculatedColumnFormula>IFERROR(IF(VLOOKUP($D7,'Raw Data'!$B:$DE,VLOOKUP('Non-SWB CaseList'!Y$6,'Non-SWB Lists'!$A$1:$C$39,3,FALSE),FALSE)=0,"",VLOOKUP($D7,'Raw Data'!$B:$DE,VLOOKUP('Non-SWB CaseList'!Y$6,'Non-SWB Lists'!$A$1:$C$39,3,FALSE),FALSE)),"")</calculatedColumnFormula>
    </tableColumn>
    <tableColumn id="26" xr3:uid="{9C76ABC0-CE99-4814-9773-DE2A37F5114F}" name="2b.  Ethnicity of FLA:" dataDxfId="56">
      <calculatedColumnFormula>IFERROR(IF(VLOOKUP($D7,'Raw Data'!$B:$DE,VLOOKUP('Non-SWB CaseList'!Z$6,'Non-SWB Lists'!$A$1:$C$39,3,FALSE),FALSE)=0,"",VLOOKUP($D7,'Raw Data'!$B:$DE,VLOOKUP('Non-SWB CaseList'!Z$6,'Non-SWB Lists'!$A$1:$C$39,3,FALSE),FALSE)),"")</calculatedColumnFormula>
    </tableColumn>
    <tableColumn id="27" xr3:uid="{A58A187D-B07D-4DEB-90C7-A4EBD2660A1D}" name="2c.  Additional description of the FLA:" dataDxfId="55">
      <calculatedColumnFormula>IFERROR(IF(VLOOKUP($D7,'Raw Data'!$B:$DE,VLOOKUP('Non-SWB CaseList'!AA$6,'Non-SWB Lists'!$A$1:$C$39,3,FALSE),FALSE)=0,"",VLOOKUP($D7,'Raw Data'!$B:$DE,VLOOKUP('Non-SWB CaseList'!AA$6,'Non-SWB Lists'!$A$1:$C$39,3,FALSE),FALSE)),"")</calculatedColumnFormula>
    </tableColumn>
    <tableColumn id="28" xr3:uid="{7108F897-6C7E-47A6-B2B1-C1098E932893}" name="3.  When you asked if you could send a transaction without an ID, did the FLA guide you on how you could send a transaction in order to avoid the ID requirement?" dataDxfId="54">
      <calculatedColumnFormula>IFERROR(IF(VLOOKUP($D7,'Raw Data'!$B:$DE,VLOOKUP('Non-SWB CaseList'!AB$6,'Non-SWB Lists'!$A$1:$C$39,3,FALSE),FALSE)=0,"",VLOOKUP($D7,'Raw Data'!$B:$DE,VLOOKUP('Non-SWB CaseList'!AB$6,'Non-SWB Lists'!$A$1:$C$39,3,FALSE),FALSE)),"")</calculatedColumnFormula>
    </tableColumn>
    <tableColumn id="29" xr3:uid="{EFA30BB5-CEAD-4020-BF8B-7DF3B7F9E784}" name="3a.  If YES, please specify what the FLA said." dataDxfId="53">
      <calculatedColumnFormula>IFERROR(IF(VLOOKUP($D7,'Raw Data'!$B:$DE,VLOOKUP('Non-SWB CaseList'!AC$6,'Non-SWB Lists'!$A$1:$C$39,3,FALSE),FALSE)=0,"",VLOOKUP($D7,'Raw Data'!$B:$DE,VLOOKUP('Non-SWB CaseList'!AC$6,'Non-SWB Lists'!$A$1:$C$39,3,FALSE),FALSE)),"")</calculatedColumnFormula>
    </tableColumn>
    <tableColumn id="30" xr3:uid="{FE0762E4-3B90-4539-B234-1DC8878E166C}" name="4. When you stated that you did not have an ID, please specify how the FLA responded." dataDxfId="52">
      <calculatedColumnFormula>IFERROR(IF(VLOOKUP($D7,'Raw Data'!$B:$DE,VLOOKUP('Non-SWB CaseList'!AD$6,'Non-SWB Lists'!$A$1:$C$39,3,FALSE),FALSE)=0,"",VLOOKUP($D7,'Raw Data'!$B:$DE,VLOOKUP('Non-SWB CaseList'!AD$6,'Non-SWB Lists'!$A$1:$C$39,3,FALSE),FALSE)),"")</calculatedColumnFormula>
    </tableColumn>
    <tableColumn id="31" xr3:uid="{82ACCDC6-E274-4C75-8875-8D6410FC9760}" name="5. Did the FLA ask for assistance from anyone at the location while assisting you?" dataDxfId="51">
      <calculatedColumnFormula>IFERROR(IF(VLOOKUP($D7,'Raw Data'!$B:$DE,VLOOKUP('Non-SWB CaseList'!AE$6,'Non-SWB Lists'!$A$1:$C$39,3,FALSE),FALSE)=0,"",VLOOKUP($D7,'Raw Data'!$B:$DE,VLOOKUP('Non-SWB CaseList'!AE$6,'Non-SWB Lists'!$A$1:$C$39,3,FALSE),FALSE)),"")</calculatedColumnFormula>
    </tableColumn>
    <tableColumn id="32" xr3:uid="{9098C38F-ADC9-47F0-B278-45791FB9A947}" name="5a.  If YES, please specify his/her name (and/or title):" dataDxfId="50">
      <calculatedColumnFormula>IFERROR(IF(VLOOKUP($D7,'Raw Data'!$B:$DE,VLOOKUP('Non-SWB CaseList'!AF$6,'Non-SWB Lists'!$A$1:$C$39,3,FALSE),FALSE)=0,"",VLOOKUP($D7,'Raw Data'!$B:$DE,VLOOKUP('Non-SWB CaseList'!AF$6,'Non-SWB Lists'!$A$1:$C$39,3,FALSE),FALSE)),"")</calculatedColumnFormula>
    </tableColumn>
    <tableColumn id="33" xr3:uid="{4D72BBB2-BA41-40DC-86F1-C524121AD294}" name="5b.  Gender of second FLA:" dataDxfId="49">
      <calculatedColumnFormula>IFERROR(IF(VLOOKUP($D7,'Raw Data'!$B:$DE,VLOOKUP('Non-SWB CaseList'!AG$6,'Non-SWB Lists'!$A$1:$C$39,3,FALSE),FALSE)=0,"",VLOOKUP($D7,'Raw Data'!$B:$DE,VLOOKUP('Non-SWB CaseList'!AG$6,'Non-SWB Lists'!$A$1:$C$39,3,FALSE),FALSE)),"")</calculatedColumnFormula>
    </tableColumn>
    <tableColumn id="34" xr3:uid="{3E3DB33F-2C48-4C58-A73D-6C5A01D8D7B9}" name="5c.  Ethnicity of FLA:" dataDxfId="48">
      <calculatedColumnFormula>IFERROR(IF(VLOOKUP($D7,'Raw Data'!$B:$DE,VLOOKUP('Non-SWB CaseList'!AH$6,'Non-SWB Lists'!$A$1:$C$39,3,FALSE),FALSE)=0,"",VLOOKUP($D7,'Raw Data'!$B:$DE,VLOOKUP('Non-SWB CaseList'!AH$6,'Non-SWB Lists'!$A$1:$C$39,3,FALSE),FALSE)),"")</calculatedColumnFormula>
    </tableColumn>
    <tableColumn id="35" xr3:uid="{F540F699-AA25-4A10-9906-702D8F645194}" name="5d. Additional description of the FLA:" dataDxfId="47">
      <calculatedColumnFormula>IFERROR(IF(VLOOKUP($D7,'Raw Data'!$B:$DE,VLOOKUP('Non-SWB CaseList'!AI$6,'Non-SWB Lists'!$A$1:$C$39,3,FALSE),FALSE)=0,"",VLOOKUP($D7,'Raw Data'!$B:$DE,VLOOKUP('Non-SWB CaseList'!AI$6,'Non-SWB Lists'!$A$1:$C$39,3,FALSE),FALSE)),"")</calculatedColumnFormula>
    </tableColumn>
    <tableColumn id="36" xr3:uid="{14624CE9-BE45-46EB-9064-BE46A0C943BB}" name="6.  Please specify how the second FLA assisted." dataDxfId="46">
      <calculatedColumnFormula>IFERROR(IF(VLOOKUP($D7,'Raw Data'!$B:$DE,VLOOKUP('Non-SWB CaseList'!AJ$6,'Non-SWB Lists'!$A$1:$C$39,3,FALSE),FALSE)=0,"",VLOOKUP($D7,'Raw Data'!$B:$DE,VLOOKUP('Non-SWB CaseList'!AJ$6,'Non-SWB Lists'!$A$1:$C$39,3,FALSE),FALSE)),"")</calculatedColumnFormula>
    </tableColumn>
    <tableColumn id="37" xr3:uid="{D8D2E8DE-35A9-48E4-A6E7-84A77BB53794}" name="7.  Please detail your entire interaction here, from the time you enter the location to the time you left." dataDxfId="45">
      <calculatedColumnFormula>IFERROR(IF(VLOOKUP($D7,'Raw Data'!$B:$DE,VLOOKUP('Non-SWB CaseList'!AK$6,'Non-SWB Lists'!$A$1:$C$39,3,FALSE),FALSE)=0,"",VLOOKUP($D7,'Raw Data'!$B:$DE,VLOOKUP('Non-SWB CaseList'!AK$6,'Non-SWB Lists'!$A$1:$C$39,3,FALSE),FALSE)),"")</calculatedColumnFormula>
    </tableColumn>
    <tableColumn id="38" xr3:uid="{1875D36D-BC36-48B3-AB79-4E0A961D892E}" name="8.  Did this location pass or fail?" dataDxfId="44">
      <calculatedColumnFormula>IFERROR(IF(VLOOKUP($D7,'Raw Data'!$B:$DE,VLOOKUP('Non-SWB CaseList'!AL$6,'Non-SWB Lists'!$A$1:$C$39,3,FALSE),FALSE)=0,"",VLOOKUP($D7,'Raw Data'!$B:$DE,VLOOKUP('Non-SWB CaseList'!AL$6,'Non-SWB Lists'!$A$1:$C$39,3,FALSE),FALSE)),"")</calculatedColumnFormula>
    </tableColumn>
    <tableColumn id="39" xr3:uid="{2FB3BAD7-9FF3-4505-9535-CB5C2D1ED74E}" name="9.  Was the required state sign displayed at the location?" dataDxfId="43">
      <calculatedColumnFormula>IFERROR(IF(VLOOKUP($D7,'Raw Data'!$B:$DE,VLOOKUP('Non-SWB CaseList'!AM$6,'Non-SWB Lists'!$A$1:$C$39,3,FALSE),FALSE)=0,"",VLOOKUP($D7,'Raw Data'!$B:$DE,VLOOKUP('Non-SWB CaseList'!AM$6,'Non-SWB Lists'!$A$1:$C$39,3,FALSE),FALSE)),"")</calculatedColumnFormula>
    </tableColumn>
    <tableColumn id="40" xr3:uid="{F05211C8-F1FE-4F5D-AB04-5812DB0743DF}" name="9a.  If NO, please specify what was missing." dataDxfId="42">
      <calculatedColumnFormula>IFERROR(IF(VLOOKUP($D7,'Raw Data'!$B:$DE,VLOOKUP('Non-SWB CaseList'!AN$6,'Non-SWB Lists'!$A$1:$C$39,3,FALSE),FALSE)=0,"NA",VLOOKUP($D7,'Raw Data'!$B:$DE,VLOOKUP('Non-SWB CaseList'!AN$6,'Non-SWB Lists'!$A$1:$C$39,3,FALSE),FALSE)),"NA")</calculatedColumnFormula>
    </tableColumn>
    <tableColumn id="41" xr3:uid="{E36AC99D-26E9-44A6-8664-D613189625C6}" name="10.  Were there any WU Marketing Materials in any language other than English and/or Spanish?" dataDxfId="41">
      <calculatedColumnFormula>IFERROR(IF(VLOOKUP($D7,'Raw Data'!$B:$DE,VLOOKUP('Non-SWB CaseList'!AO$6,'Non-SWB Lists'!$A$1:$C$39,3,FALSE),FALSE)=0,"",VLOOKUP($D7,'Raw Data'!$B:$DE,VLOOKUP('Non-SWB CaseList'!AO$6,'Non-SWB Lists'!$A$1:$C$39,3,FALSE),FALSE)),"")</calculatedColumnFormula>
    </tableColumn>
    <tableColumn id="42" xr3:uid="{D22B1B1D-D52F-4B6E-AC32-0C8E8243451E}" name="10a.  If Yes, please specify what language was used." dataDxfId="40">
      <calculatedColumnFormula>IFERROR(IF(VLOOKUP($D7,'Raw Data'!$B:$DE,VLOOKUP('Non-SWB CaseList'!AP$6,'Non-SWB Lists'!$A$1:$C$39,3,FALSE),FALSE)=0,"",VLOOKUP($D7,'Raw Data'!$B:$DE,VLOOKUP('Non-SWB CaseList'!AP$6,'Non-SWB Lists'!$A$1:$C$39,3,FALSE),FALSE)),"")</calculatedColumnFormula>
    </tableColumn>
    <tableColumn id="43" xr3:uid="{7178102A-9CE2-4B3F-A2D1-16B41D3137D7}" name="11. Were there any Agent created signs referencing additional fees beyond approved Western Union Fees?" dataDxfId="39">
      <calculatedColumnFormula>IFERROR(IF(VLOOKUP($D7,'Raw Data'!$B:$DE,VLOOKUP('Non-SWB CaseList'!AQ$6,'Non-SWB Lists'!$A$1:$C$39,3,FALSE),FALSE)=0,"",VLOOKUP($D7,'Raw Data'!$B:$DE,VLOOKUP('Non-SWB CaseList'!AQ$6,'Non-SWB Lists'!$A$1:$C$39,3,FALSE),FALSE)),"")</calculatedColumnFormula>
    </tableColumn>
    <tableColumn id="44" xr3:uid="{83A53DE9-62C0-41D8-9730-554C0ECFE4CB}" name="11a. If YES, please provide specific details of the sign, including what the sign said." dataDxfId="38">
      <calculatedColumnFormula>IFERROR(IF(VLOOKUP($D7,'Raw Data'!$B:$DE,VLOOKUP('Non-SWB CaseList'!AR$6,'Non-SWB Lists'!$A$1:$C$39,3,FALSE),FALSE)=0,"",VLOOKUP($D7,'Raw Data'!$B:$DE,VLOOKUP('Non-SWB CaseList'!AR$6,'Non-SWB Lists'!$A$1:$C$39,3,FALSE),FALSE)),"")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39788A-704D-49D3-BB6E-1090445905B1}" name="Table13" displayName="Table13" ref="A5:Y18" totalsRowShown="0" dataDxfId="35" headerRowBorderDxfId="36" tableBorderDxfId="34">
  <autoFilter ref="A5:Y18" xr:uid="{DA6E1B2A-00FA-4294-AB7A-86E6F93DCE09}"/>
  <tableColumns count="25">
    <tableColumn id="1" xr3:uid="{6FDEDF77-D44D-4DBE-9123-805292CC51E9}" name="Case ID" dataDxfId="33"/>
    <tableColumn id="2" xr3:uid="{7DDE8A00-DCAE-422E-A674-BC10BBAD02D2}" name="Interview Type" dataDxfId="32"/>
    <tableColumn id="3" xr3:uid="{BBE4510C-A909-43A1-B36C-8773A0D40D86}" name="Business Group" dataDxfId="31"/>
    <tableColumn id="4" xr3:uid="{7D158A39-79E1-4326-98A3-18463785C4A0}" name="Shop ID" dataDxfId="30"/>
    <tableColumn id="5" xr3:uid="{8D99ED48-3F5D-4E90-82DB-738BEFB0E1CA}" name="Subject Id" dataDxfId="29">
      <calculatedColumnFormula>IFERROR(IF(VLOOKUP($D6,'Raw Data'!$B:$CQ,VLOOKUP('SWB CaseList'!E$5,'SWB-Lists'!$A:$C,3,0),0)=0,"NA",VLOOKUP($D6,'Raw Data'!$B:$CQ,VLOOKUP('SWB CaseList'!E$5,'SWB-Lists'!$A:$C,3,0),0)),"NA")</calculatedColumnFormula>
    </tableColumn>
    <tableColumn id="6" xr3:uid="{338CC2FD-F344-4E29-A573-F223749BCAB7}" name="Subject Type" dataDxfId="28"/>
    <tableColumn id="7" xr3:uid="{7F3EB23A-C7A1-4C63-92FD-ACBA103BD56A}" name="Subject Name" dataDxfId="27">
      <calculatedColumnFormula>IFERROR(IF(VLOOKUP($D6,'Raw Data'!$B:$CQ,VLOOKUP('SWB CaseList'!G$5,'SWB-Lists'!$A:$C,3,0),0)=0,"NA",VLOOKUP($D6,'Raw Data'!$B:$CQ,VLOOKUP('SWB CaseList'!G$5,'SWB-Lists'!$A:$C,3,0),0)),"NA")</calculatedColumnFormula>
    </tableColumn>
    <tableColumn id="8" xr3:uid="{E54A1F71-03BA-4E8B-97A4-F87A7427B1ED}" name="Subject Address" dataDxfId="26">
      <calculatedColumnFormula>IFERROR(IF(VLOOKUP($D6,'Raw Data'!$B:$CQ,VLOOKUP('SWB CaseList'!H$5,'SWB-Lists'!$A:$C,3,0),0)=0,"NA",VLOOKUP($D6,'Raw Data'!$B:$CQ,VLOOKUP('SWB CaseList'!H$5,'SWB-Lists'!$A:$C,3,0),0)),"NA")</calculatedColumnFormula>
    </tableColumn>
    <tableColumn id="9" xr3:uid="{36AC7D43-7369-40A1-8F08-B391EE6293FA}" name="Subject City" dataDxfId="25">
      <calculatedColumnFormula>IFERROR(IF(VLOOKUP($D6,'Raw Data'!$B:$CQ,VLOOKUP('SWB CaseList'!I$5,'SWB-Lists'!$A:$C,3,0),0)=0,"NA",VLOOKUP($D6,'Raw Data'!$B:$CQ,VLOOKUP('SWB CaseList'!I$5,'SWB-Lists'!$A:$C,3,0),0)),"NA")</calculatedColumnFormula>
    </tableColumn>
    <tableColumn id="10" xr3:uid="{0F18F501-0088-477E-80C2-2F8F234C3F3C}" name="Subject State" dataDxfId="24">
      <calculatedColumnFormula>IFERROR(IF(VLOOKUP($D6,'Raw Data'!$B:$CQ,VLOOKUP('SWB CaseList'!J$5,'SWB-Lists'!$A:$C,3,0),0)=0,"NA",VLOOKUP($D6,'Raw Data'!$B:$CQ,VLOOKUP('SWB CaseList'!J$5,'SWB-Lists'!$A:$C,3,0),0)),"NA")</calculatedColumnFormula>
    </tableColumn>
    <tableColumn id="11" xr3:uid="{3D7EA184-6754-42D3-BB77-7A1B491E9FA5}" name="Subject Zip Code" dataDxfId="23">
      <calculatedColumnFormula>IFERROR(IF(VLOOKUP($D6,'Raw Data'!$B:$CQ,VLOOKUP('SWB CaseList'!K$5,'SWB-Lists'!$A:$C,3,0),0)=0,"NA",VLOOKUP($D6,'Raw Data'!$B:$CQ,VLOOKUP('SWB CaseList'!K$5,'SWB-Lists'!$A:$C,3,0),0)),"NA")</calculatedColumnFormula>
    </tableColumn>
    <tableColumn id="12" xr3:uid="{C6F63145-7CC1-4B73-86B9-491F9AC2AD30}" name="Subject Country" dataDxfId="22">
      <calculatedColumnFormula>IFERROR(IF(VLOOKUP($D6,'Raw Data'!$B:$CQ,VLOOKUP('SWB CaseList'!L$5,'SWB-Lists'!$A:$C,3,0),0)=0,"NA",VLOOKUP($D6,'Raw Data'!$B:$CQ,VLOOKUP('SWB CaseList'!L$5,'SWB-Lists'!$A:$C,3,0),0)),"NA")</calculatedColumnFormula>
    </tableColumn>
    <tableColumn id="13" xr3:uid="{6278CAB2-E3CC-456C-A8F4-C259FC2BD31E}" name="Shopper Gender" dataDxfId="21">
      <calculatedColumnFormula>IFERROR(IF(VLOOKUP($D6,'Raw Data'!$B:$CQ,VLOOKUP('SWB CaseList'!M$5,'SWB-Lists'!$A:$C,3,0),0)=0,"NA",VLOOKUP($D6,'Raw Data'!$B:$CQ,VLOOKUP('SWB CaseList'!M$5,'SWB-Lists'!$A:$C,3,0),0)),"NA")</calculatedColumnFormula>
    </tableColumn>
    <tableColumn id="14" xr3:uid="{25D5C086-5BFF-4AE5-877B-0AEDD892932D}" name="Shopper Ethnicity" dataDxfId="20">
      <calculatedColumnFormula>IFERROR(IF(VLOOKUP($D6,'Raw Data'!$B:$CQ,VLOOKUP('SWB CaseList'!N$5,'SWB-Lists'!$A:$C,3,0),0)=0,"NA",VLOOKUP($D6,'Raw Data'!$B:$CQ,VLOOKUP('SWB CaseList'!N$5,'SWB-Lists'!$A:$C,3,0),0)),"NA")</calculatedColumnFormula>
    </tableColumn>
    <tableColumn id="15" xr3:uid="{B00E6FC9-B48A-4A7E-BC29-414A8B194A24}" name="Date Shop Performed" dataDxfId="19">
      <calculatedColumnFormula>IFERROR(IF(VLOOKUP($D6,'Raw Data'!$B:$CQ,VLOOKUP('SWB CaseList'!O$5,'SWB-Lists'!$A:$C,3,0),0)=0,"NA",VLOOKUP($D6,'Raw Data'!$B:$CQ,VLOOKUP('SWB CaseList'!O$5,'SWB-Lists'!$A:$C,3,0),0)),"NA")</calculatedColumnFormula>
    </tableColumn>
    <tableColumn id="16" xr3:uid="{B72DA27F-696F-4E3B-8F46-1B30B40CB035}" name="Time Visit Began" dataDxfId="18">
      <calculatedColumnFormula>IFERROR(IF(VLOOKUP($D6,'Raw Data'!$B:$CQ,VLOOKUP('SWB CaseList'!P$5,'SWB-Lists'!$A:$C,3,0),0)=0,"NA",VLOOKUP($D6,'Raw Data'!$B:$CQ,VLOOKUP('SWB CaseList'!P$5,'SWB-Lists'!$A:$C,3,0),0)),"NA")</calculatedColumnFormula>
    </tableColumn>
    <tableColumn id="17" xr3:uid="{D70B6623-3106-4807-A27D-8EB5EDBB4437}" name="Time Visit Ended" dataDxfId="17">
      <calculatedColumnFormula>IFERROR(IF(VLOOKUP($D6,'Raw Data'!$B:$CQ,VLOOKUP('SWB CaseList'!Q$5,'SWB-Lists'!$A:$C,3,0),0)=0,"NA",VLOOKUP($D6,'Raw Data'!$B:$CQ,VLOOKUP('SWB CaseList'!Q$5,'SWB-Lists'!$A:$C,3,0),0)),"NA")</calculatedColumnFormula>
    </tableColumn>
    <tableColumn id="18" xr3:uid="{464CD46E-93DD-45E1-8C18-F330146A7CE4}" name="Scenario Used" dataDxfId="16">
      <calculatedColumnFormula>IFERROR(IF(VLOOKUP($D6,'Raw Data'!$B:$CQ,VLOOKUP('SWB CaseList'!R$5,'SWB-Lists'!$A:$C,3,0),0)=0,"NA",VLOOKUP($D6,'Raw Data'!$B:$CQ,VLOOKUP('SWB CaseList'!R$5,'SWB-Lists'!$A:$C,3,0),0)),"NA")</calculatedColumnFormula>
    </tableColumn>
    <tableColumn id="19" xr3:uid="{9C841CAE-005D-4D1F-AC32-141B6A78A8BC}" name="Scenario Detail" dataDxfId="15">
      <calculatedColumnFormula>IFERROR(IF(VLOOKUP($D6,'Raw Data'!$B:$CQ,VLOOKUP('SWB CaseList'!S$5,'SWB-Lists'!$A:$C,3,0),0)=0,"NA",VLOOKUP($D6,'Raw Data'!$B:$CQ,VLOOKUP('SWB CaseList'!S$5,'SWB-Lists'!$A:$C,3,0),0)),"NA")</calculatedColumnFormula>
    </tableColumn>
    <tableColumn id="20" xr3:uid="{BE28D6CC-EF49-4A37-A4C7-9FA55EE5DD40}" name="FLA Name" dataDxfId="14">
      <calculatedColumnFormula>IFERROR(IF(VLOOKUP($D6,'Raw Data'!$B:$CQ,VLOOKUP('SWB CaseList'!T$5,'SWB-Lists'!$A:$C,3,0),0)=0,"NA",VLOOKUP($D6,'Raw Data'!$B:$CQ,VLOOKUP('SWB CaseList'!T$5,'SWB-Lists'!$A:$C,3,0),0)),"NA")</calculatedColumnFormula>
    </tableColumn>
    <tableColumn id="21" xr3:uid="{DEB38955-31B0-4247-A3A9-CB09A4358582}" name="FLA Gender" dataDxfId="13">
      <calculatedColumnFormula>IFERROR(IF(VLOOKUP($D6,'Raw Data'!$B:$CQ,VLOOKUP('SWB CaseList'!U$5,'SWB-Lists'!$A:$C,3,0),0)=0,"NA",VLOOKUP($D6,'Raw Data'!$B:$CQ,VLOOKUP('SWB CaseList'!U$5,'SWB-Lists'!$A:$C,3,0),0)),"NA")</calculatedColumnFormula>
    </tableColumn>
    <tableColumn id="22" xr3:uid="{FC4BED91-CF45-441C-A5A2-DBC62B1C64E3}" name="FLA Description" dataDxfId="12">
      <calculatedColumnFormula>IFERROR(IF(VLOOKUP($D6,'Raw Data'!$B:$CQ,VLOOKUP('SWB CaseList'!V$5,'SWB-Lists'!$A:$C,3,0),0)=0,"NA",VLOOKUP($D6,'Raw Data'!$B:$CQ,VLOOKUP('SWB CaseList'!V$5,'SWB-Lists'!$A:$C,3,0),0)),"NA")</calculatedColumnFormula>
    </tableColumn>
    <tableColumn id="23" xr3:uid="{5D1E5FE2-65B0-4B96-BEBF-962FB5C8A208}" name="Interaction Detail" dataDxfId="11">
      <calculatedColumnFormula>IFERROR(IF(VLOOKUP($D6,'Raw Data'!$B:$CQ,VLOOKUP('SWB CaseList'!W$5,'SWB-Lists'!$A:$C,3,0),0)=0,"NA",VLOOKUP($D6,'Raw Data'!$B:$CQ,VLOOKUP('SWB CaseList'!W$5,'SWB-Lists'!$A:$C,3,0),0)),"NA")</calculatedColumnFormula>
    </tableColumn>
    <tableColumn id="24" xr3:uid="{DBE038AA-BA2A-4855-A846-B2C61B0518CF}" name="Final Pass Fail" dataDxfId="10">
      <calculatedColumnFormula>IFERROR(IF(VLOOKUP($D6,'Raw Data'!$B:$CQ,VLOOKUP('SWB CaseList'!X$5,'SWB-Lists'!$A:$C,3,0),0)=0,"NA",VLOOKUP($D6,'Raw Data'!$B:$CQ,VLOOKUP('SWB CaseList'!X$5,'SWB-Lists'!$A:$C,3,0),0)),"NA")</calculatedColumnFormula>
    </tableColumn>
    <tableColumn id="25" xr3:uid="{18FFBE8E-EF6C-4FCB-B32E-A80068D740E9}" name="Results of Mystery Shop" dataDxfId="9">
      <calculatedColumnFormula>IFERROR(IF(VLOOKUP($D6,'Raw Data'!$B:$CQ,VLOOKUP('SWB CaseList'!Y$5,'SWB-Lists'!$A:$C,3,0),0)=0,"NA",VLOOKUP($D6,'Raw Data'!$B:$CQ,VLOOKUP('SWB CaseList'!Y$5,'SWB-Lists'!$A:$C,3,0),0)),"NA")</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7C1C5E-2191-4353-95F0-8DB8EED0C0E8}">
  <sheetPr codeName="Sheet1"/>
  <dimension ref="A2:AT15"/>
  <sheetViews>
    <sheetView zoomScale="80" zoomScaleNormal="80" workbookViewId="0">
      <selection activeCell="B7" sqref="B7:AR15"/>
    </sheetView>
  </sheetViews>
  <sheetFormatPr defaultRowHeight="14.5" x14ac:dyDescent="0.35"/>
  <cols>
    <col min="1" max="1" width="22.1796875" customWidth="1"/>
    <col min="2" max="2" width="27.81640625" bestFit="1" customWidth="1"/>
    <col min="3" max="3" width="16.81640625" bestFit="1" customWidth="1"/>
    <col min="4" max="4" width="10.1796875" bestFit="1" customWidth="1"/>
    <col min="5" max="5" width="27.453125" customWidth="1"/>
    <col min="6" max="6" width="14.36328125" bestFit="1" customWidth="1"/>
    <col min="7" max="7" width="33.81640625" bestFit="1" customWidth="1"/>
    <col min="8" max="8" width="40.54296875" bestFit="1" customWidth="1"/>
    <col min="9" max="9" width="15.453125" bestFit="1" customWidth="1"/>
    <col min="10" max="10" width="16.36328125" bestFit="1" customWidth="1"/>
    <col min="11" max="11" width="17.6328125" bestFit="1" customWidth="1"/>
    <col min="12" max="12" width="18.81640625" bestFit="1" customWidth="1"/>
    <col min="13" max="13" width="15.1796875" bestFit="1" customWidth="1"/>
    <col min="14" max="14" width="23.81640625" bestFit="1" customWidth="1"/>
    <col min="15" max="15" width="14.81640625" bestFit="1" customWidth="1"/>
    <col min="16" max="16" width="19.1796875" bestFit="1" customWidth="1"/>
    <col min="17" max="17" width="18.6328125" bestFit="1" customWidth="1"/>
    <col min="18" max="18" width="29.81640625" bestFit="1" customWidth="1"/>
    <col min="19" max="19" width="32.6328125" bestFit="1" customWidth="1"/>
    <col min="20" max="20" width="40.08984375" bestFit="1" customWidth="1"/>
    <col min="21" max="21" width="59.08984375" bestFit="1" customWidth="1"/>
    <col min="22" max="22" width="40.6328125" bestFit="1" customWidth="1"/>
    <col min="23" max="23" width="65.1796875" bestFit="1" customWidth="1"/>
    <col min="24" max="24" width="35.08984375" bestFit="1" customWidth="1"/>
    <col min="25" max="25" width="19.453125" bestFit="1" customWidth="1"/>
    <col min="26" max="26" width="20.453125" bestFit="1" customWidth="1"/>
    <col min="27" max="27" width="108.81640625" customWidth="1"/>
    <col min="28" max="28" width="38.54296875" customWidth="1"/>
    <col min="29" max="29" width="40" bestFit="1" customWidth="1"/>
    <col min="30" max="30" width="107.1796875" customWidth="1"/>
    <col min="31" max="31" width="71.81640625" bestFit="1" customWidth="1"/>
    <col min="32" max="32" width="48" bestFit="1" customWidth="1"/>
    <col min="33" max="33" width="25.81640625" bestFit="1" customWidth="1"/>
    <col min="34" max="34" width="20.1796875" bestFit="1" customWidth="1"/>
    <col min="35" max="35" width="34.6328125" bestFit="1" customWidth="1"/>
    <col min="36" max="36" width="42.54296875" bestFit="1" customWidth="1"/>
    <col min="37" max="37" width="160.08984375" customWidth="1"/>
    <col min="38" max="38" width="29.81640625" bestFit="1" customWidth="1"/>
    <col min="39" max="39" width="51.1796875" bestFit="1" customWidth="1"/>
    <col min="40" max="40" width="39.54296875" bestFit="1" customWidth="1"/>
    <col min="41" max="41" width="37.54296875" customWidth="1"/>
    <col min="42" max="42" width="46.6328125" bestFit="1" customWidth="1"/>
    <col min="43" max="43" width="56.08984375" customWidth="1"/>
    <col min="44" max="44" width="42.453125" customWidth="1"/>
    <col min="46" max="46" width="19.6328125" bestFit="1" customWidth="1"/>
  </cols>
  <sheetData>
    <row r="2" spans="1:46" x14ac:dyDescent="0.35">
      <c r="F2" s="47" t="s">
        <v>367</v>
      </c>
      <c r="G2" s="47"/>
      <c r="H2" s="47"/>
    </row>
    <row r="3" spans="1:46" x14ac:dyDescent="0.35">
      <c r="F3" s="47"/>
      <c r="G3" s="47"/>
      <c r="H3" s="47"/>
    </row>
    <row r="6" spans="1:46" s="6" customFormat="1" x14ac:dyDescent="0.35">
      <c r="A6" s="25" t="s">
        <v>0</v>
      </c>
      <c r="B6" s="5" t="s">
        <v>1</v>
      </c>
      <c r="C6" s="5" t="s">
        <v>2</v>
      </c>
      <c r="D6" s="5" t="s">
        <v>3</v>
      </c>
      <c r="E6" s="26" t="s">
        <v>4</v>
      </c>
      <c r="F6" s="27" t="s">
        <v>5</v>
      </c>
      <c r="G6" s="28" t="s">
        <v>6</v>
      </c>
      <c r="H6" s="29" t="s">
        <v>7</v>
      </c>
      <c r="I6" s="28" t="s">
        <v>8</v>
      </c>
      <c r="J6" s="28" t="s">
        <v>9</v>
      </c>
      <c r="K6" s="30" t="s">
        <v>10</v>
      </c>
      <c r="L6" s="30" t="s">
        <v>11</v>
      </c>
      <c r="M6" s="5" t="s">
        <v>12</v>
      </c>
      <c r="N6" s="30" t="s">
        <v>13</v>
      </c>
      <c r="O6" s="26" t="s">
        <v>14</v>
      </c>
      <c r="P6" s="26" t="s">
        <v>15</v>
      </c>
      <c r="Q6" s="26" t="s">
        <v>16</v>
      </c>
      <c r="R6" s="31" t="s">
        <v>17</v>
      </c>
      <c r="S6" s="26" t="s">
        <v>18</v>
      </c>
      <c r="T6" s="26" t="s">
        <v>19</v>
      </c>
      <c r="U6" s="26" t="s">
        <v>20</v>
      </c>
      <c r="V6" s="31" t="s">
        <v>21</v>
      </c>
      <c r="W6" s="31" t="s">
        <v>22</v>
      </c>
      <c r="X6" s="26" t="s">
        <v>23</v>
      </c>
      <c r="Y6" s="26" t="s">
        <v>24</v>
      </c>
      <c r="Z6" s="26" t="s">
        <v>25</v>
      </c>
      <c r="AA6" s="26" t="s">
        <v>26</v>
      </c>
      <c r="AB6" s="31" t="s">
        <v>27</v>
      </c>
      <c r="AC6" s="31" t="s">
        <v>28</v>
      </c>
      <c r="AD6" s="30" t="s">
        <v>29</v>
      </c>
      <c r="AE6" s="30" t="s">
        <v>30</v>
      </c>
      <c r="AF6" s="30" t="s">
        <v>31</v>
      </c>
      <c r="AG6" s="31" t="s">
        <v>32</v>
      </c>
      <c r="AH6" s="31" t="s">
        <v>33</v>
      </c>
      <c r="AI6" s="31" t="s">
        <v>34</v>
      </c>
      <c r="AJ6" s="31" t="s">
        <v>35</v>
      </c>
      <c r="AK6" s="30" t="s">
        <v>36</v>
      </c>
      <c r="AL6" s="30" t="s">
        <v>37</v>
      </c>
      <c r="AM6" s="30" t="s">
        <v>38</v>
      </c>
      <c r="AN6" s="30" t="s">
        <v>39</v>
      </c>
      <c r="AO6" s="31" t="s">
        <v>40</v>
      </c>
      <c r="AP6" s="31" t="s">
        <v>41</v>
      </c>
      <c r="AQ6" s="31" t="s">
        <v>42</v>
      </c>
      <c r="AR6" s="31" t="s">
        <v>43</v>
      </c>
    </row>
    <row r="7" spans="1:46" x14ac:dyDescent="0.35">
      <c r="A7" s="40"/>
      <c r="B7" s="3" t="s">
        <v>44</v>
      </c>
      <c r="C7" s="3" t="s">
        <v>45</v>
      </c>
      <c r="D7" s="32">
        <v>12386139</v>
      </c>
      <c r="E7" s="33" t="str">
        <f>IFERROR(IF(VLOOKUP($D7,'Raw Data'!$B:$DE,VLOOKUP('Non-SWB CaseList'!E$6,'Non-SWB Lists'!$A$1:$C$39,3,FALSE),FALSE)=0,"",VLOOKUP($D7,'Raw Data'!$B:$DE,VLOOKUP('Non-SWB CaseList'!E$6,'Non-SWB Lists'!$A$1:$C$39,3,FALSE),FALSE)),"")</f>
        <v/>
      </c>
      <c r="F7" s="3" t="s">
        <v>46</v>
      </c>
      <c r="G7" s="2" t="str">
        <f>IFERROR(IF(VLOOKUP($D7,'Raw Data'!$B:$DE,VLOOKUP('Non-SWB CaseList'!G$6,'Non-SWB Lists'!$A$1:$C$39,3,FALSE),FALSE)=0,"",VLOOKUP($D7,'Raw Data'!$B:$DE,VLOOKUP('Non-SWB CaseList'!G$6,'Non-SWB Lists'!$A$1:$C$39,3,FALSE),FALSE)),"")</f>
        <v/>
      </c>
      <c r="H7" s="2" t="str">
        <f>IFERROR(IF(VLOOKUP($D7,'Raw Data'!$B:$DE,VLOOKUP('Non-SWB CaseList'!H$6,'Non-SWB Lists'!$A$1:$C$39,3,FALSE),FALSE)=0,"",VLOOKUP($D7,'Raw Data'!$B:$DE,VLOOKUP('Non-SWB CaseList'!H$6,'Non-SWB Lists'!$A$1:$C$39,3,FALSE),FALSE)),"")</f>
        <v/>
      </c>
      <c r="I7" s="2" t="str">
        <f>IFERROR(IF(VLOOKUP($D7,'Raw Data'!$B:$DE,VLOOKUP('Non-SWB CaseList'!I$6,'Non-SWB Lists'!$A$1:$C$39,3,FALSE),FALSE)=0,"",VLOOKUP($D7,'Raw Data'!$B:$DE,VLOOKUP('Non-SWB CaseList'!I$6,'Non-SWB Lists'!$A$1:$C$39,3,FALSE),FALSE)),"")</f>
        <v/>
      </c>
      <c r="J7" s="2" t="str">
        <f>IFERROR(IF(VLOOKUP($D7,'Raw Data'!$B:$DE,VLOOKUP('Non-SWB CaseList'!J$6,'Non-SWB Lists'!$A$1:$C$39,3,FALSE),FALSE)=0,"",VLOOKUP($D7,'Raw Data'!$B:$DE,VLOOKUP('Non-SWB CaseList'!J$6,'Non-SWB Lists'!$A$1:$C$39,3,FALSE),FALSE)),"")</f>
        <v/>
      </c>
      <c r="K7" s="2" t="str">
        <f>IFERROR(IF(VLOOKUP($D7,'Raw Data'!$B:$DE,VLOOKUP('Non-SWB CaseList'!K$6,'Non-SWB Lists'!$A$1:$C$39,3,FALSE),FALSE)=0,"",VLOOKUP($D7,'Raw Data'!$B:$DE,VLOOKUP('Non-SWB CaseList'!K$6,'Non-SWB Lists'!$A$1:$C$39,3,FALSE),FALSE)),"")</f>
        <v/>
      </c>
      <c r="L7" s="2" t="str">
        <f>IFERROR(IF(VLOOKUP($D7,'Raw Data'!$B:$DE,VLOOKUP('Non-SWB CaseList'!L$6,'Non-SWB Lists'!$A$1:$C$39,3,FALSE),FALSE)=0,"",VLOOKUP($D7,'Raw Data'!$B:$DE,VLOOKUP('Non-SWB CaseList'!L$6,'Non-SWB Lists'!$A$1:$C$39,3,FALSE),FALSE)),"")</f>
        <v/>
      </c>
      <c r="M7" s="2" t="str">
        <f>IFERROR(IF(VLOOKUP($D7,'Raw Data'!$B:$DE,VLOOKUP('Non-SWB CaseList'!M$6,'Non-SWB Lists'!$A$1:$C$39,3,FALSE),FALSE)=0,"",VLOOKUP($D7,'Raw Data'!$B:$DE,VLOOKUP('Non-SWB CaseList'!M$6,'Non-SWB Lists'!$A$1:$C$39,3,FALSE),FALSE)),"")</f>
        <v/>
      </c>
      <c r="N7" s="2" t="str">
        <f>IFERROR(IF(VLOOKUP($D7,'Raw Data'!$B:$DE,VLOOKUP('Non-SWB CaseList'!N$6,'Non-SWB Lists'!$A$1:$C$39,3,FALSE),FALSE)=0,"",VLOOKUP($D7,'Raw Data'!$B:$DE,VLOOKUP('Non-SWB CaseList'!N$6,'Non-SWB Lists'!$A$1:$C$39,3,FALSE),FALSE)),"")</f>
        <v/>
      </c>
      <c r="O7" s="9" t="str">
        <f>IFERROR(IF(VLOOKUP($D7,'Raw Data'!$B:$DE,VLOOKUP('Non-SWB CaseList'!O$6,'Non-SWB Lists'!$A$1:$C$39,3,FALSE),FALSE)=0,"",VLOOKUP($D7,'Raw Data'!$B:$DE,VLOOKUP('Non-SWB CaseList'!O$6,'Non-SWB Lists'!$A$1:$C$39,3,FALSE),FALSE)),"")</f>
        <v/>
      </c>
      <c r="P7" s="9" t="str">
        <f>IFERROR(IF(VLOOKUP($D7,'Raw Data'!$B:$DE,VLOOKUP('Non-SWB CaseList'!P$6,'Non-SWB Lists'!$A$1:$C$39,3,FALSE),FALSE)=0,"",VLOOKUP($D7,'Raw Data'!$B:$DE,VLOOKUP('Non-SWB CaseList'!P$6,'Non-SWB Lists'!$A$1:$C$39,3,FALSE),FALSE)),"")</f>
        <v/>
      </c>
      <c r="Q7" s="9" t="str">
        <f>IFERROR(IF(VLOOKUP($D7,'Raw Data'!$B:$DE,VLOOKUP('Non-SWB CaseList'!Q$6,'Non-SWB Lists'!$A$1:$C$39,3,FALSE),FALSE)=0,"",VLOOKUP($D7,'Raw Data'!$B:$DE,VLOOKUP('Non-SWB CaseList'!Q$6,'Non-SWB Lists'!$A$1:$C$39,3,FALSE),FALSE)),"")</f>
        <v/>
      </c>
      <c r="R7" s="9" t="str">
        <f>IFERROR(IF(VLOOKUP($D7,'Raw Data'!$B:$DE,VLOOKUP('Non-SWB CaseList'!R$6,'Non-SWB Lists'!$A$1:$C$39,3,FALSE),FALSE)=0,"",VLOOKUP($D7,'Raw Data'!$B:$DE,VLOOKUP('Non-SWB CaseList'!R$6,'Non-SWB Lists'!$A$1:$C$39,3,FALSE),FALSE)),"")</f>
        <v/>
      </c>
      <c r="S7" s="9" t="str">
        <f>IFERROR(IF(VLOOKUP($D7,'Raw Data'!$B:$DE,VLOOKUP('Non-SWB CaseList'!S$6,'Non-SWB Lists'!$A$1:$C$39,3,FALSE),FALSE)=0,"",VLOOKUP($D7,'Raw Data'!$B:$DE,VLOOKUP('Non-SWB CaseList'!S$6,'Non-SWB Lists'!$A$1:$C$39,3,FALSE),FALSE)),"")</f>
        <v/>
      </c>
      <c r="T7" s="9" t="str">
        <f>IFERROR(IF(VLOOKUP($D7,'Raw Data'!$B:$DE,VLOOKUP('Non-SWB CaseList'!T$6,'Non-SWB Lists'!$A$1:$C$39,3,FALSE),FALSE)=0,"",VLOOKUP($D7,'Raw Data'!$B:$DE,VLOOKUP('Non-SWB CaseList'!T$6,'Non-SWB Lists'!$A$1:$C$39,3,FALSE),FALSE)),"")</f>
        <v/>
      </c>
      <c r="U7" s="9" t="str">
        <f>IFERROR(IF(VLOOKUP($D7,'Raw Data'!$B:$DE,VLOOKUP('Non-SWB CaseList'!U$6,'Non-SWB Lists'!$A$1:$C$39,3,FALSE),FALSE)=0,"",VLOOKUP($D7,'Raw Data'!$B:$DE,VLOOKUP('Non-SWB CaseList'!U$6,'Non-SWB Lists'!$A$1:$C$39,3,FALSE),FALSE)),"")</f>
        <v/>
      </c>
      <c r="V7" s="9" t="str">
        <f>IFERROR(IF(VLOOKUP($D7,'Raw Data'!$B:$DE,VLOOKUP('Non-SWB CaseList'!V$6,'Non-SWB Lists'!$A$1:$C$39,3,FALSE),FALSE)=0,"",VLOOKUP($D7,'Raw Data'!$B:$DE,VLOOKUP('Non-SWB CaseList'!V$6,'Non-SWB Lists'!$A$1:$C$39,3,FALSE),FALSE)),"")</f>
        <v/>
      </c>
      <c r="W7" s="9" t="str">
        <f>IFERROR(IF(VLOOKUP($D7,'Raw Data'!$B:$DE,VLOOKUP('Non-SWB CaseList'!W$6,'Non-SWB Lists'!$A$1:$C$39,3,FALSE),FALSE)=0,"",VLOOKUP($D7,'Raw Data'!$B:$DE,VLOOKUP('Non-SWB CaseList'!W$6,'Non-SWB Lists'!$A$1:$C$39,3,FALSE),FALSE)),"")</f>
        <v/>
      </c>
      <c r="X7" s="9" t="str">
        <f>IFERROR(IF(VLOOKUP($D7,'Raw Data'!$B:$DE,VLOOKUP('Non-SWB CaseList'!X$6,'Non-SWB Lists'!$A$1:$C$39,3,FALSE),FALSE)=0,"",VLOOKUP($D7,'Raw Data'!$B:$DE,VLOOKUP('Non-SWB CaseList'!X$6,'Non-SWB Lists'!$A$1:$C$39,3,FALSE),FALSE)),"")</f>
        <v/>
      </c>
      <c r="Y7" s="9" t="str">
        <f>IFERROR(IF(VLOOKUP($D7,'Raw Data'!$B:$DE,VLOOKUP('Non-SWB CaseList'!Y$6,'Non-SWB Lists'!$A$1:$C$39,3,FALSE),FALSE)=0,"",VLOOKUP($D7,'Raw Data'!$B:$DE,VLOOKUP('Non-SWB CaseList'!Y$6,'Non-SWB Lists'!$A$1:$C$39,3,FALSE),FALSE)),"")</f>
        <v/>
      </c>
      <c r="Z7" s="9" t="str">
        <f>IFERROR(IF(VLOOKUP($D7,'Raw Data'!$B:$DE,VLOOKUP('Non-SWB CaseList'!Z$6,'Non-SWB Lists'!$A$1:$C$39,3,FALSE),FALSE)=0,"",VLOOKUP($D7,'Raw Data'!$B:$DE,VLOOKUP('Non-SWB CaseList'!Z$6,'Non-SWB Lists'!$A$1:$C$39,3,FALSE),FALSE)),"")</f>
        <v/>
      </c>
      <c r="AA7" s="9" t="str">
        <f>IFERROR(IF(VLOOKUP($D7,'Raw Data'!$B:$DE,VLOOKUP('Non-SWB CaseList'!AA$6,'Non-SWB Lists'!$A$1:$C$39,3,FALSE),FALSE)=0,"",VLOOKUP($D7,'Raw Data'!$B:$DE,VLOOKUP('Non-SWB CaseList'!AA$6,'Non-SWB Lists'!$A$1:$C$39,3,FALSE),FALSE)),"")</f>
        <v/>
      </c>
      <c r="AB7" s="9" t="str">
        <f>IFERROR(IF(VLOOKUP($D7,'Raw Data'!$B:$DE,VLOOKUP('Non-SWB CaseList'!AB$6,'Non-SWB Lists'!$A$1:$C$39,3,FALSE),FALSE)=0,"",VLOOKUP($D7,'Raw Data'!$B:$DE,VLOOKUP('Non-SWB CaseList'!AB$6,'Non-SWB Lists'!$A$1:$C$39,3,FALSE),FALSE)),"")</f>
        <v/>
      </c>
      <c r="AC7" s="9" t="str">
        <f>IFERROR(IF(VLOOKUP($D7,'Raw Data'!$B:$DE,VLOOKUP('Non-SWB CaseList'!AC$6,'Non-SWB Lists'!$A$1:$C$39,3,FALSE),FALSE)=0,"",VLOOKUP($D7,'Raw Data'!$B:$DE,VLOOKUP('Non-SWB CaseList'!AC$6,'Non-SWB Lists'!$A$1:$C$39,3,FALSE),FALSE)),"")</f>
        <v/>
      </c>
      <c r="AD7" s="9" t="str">
        <f>IFERROR(IF(VLOOKUP($D7,'Raw Data'!$B:$DE,VLOOKUP('Non-SWB CaseList'!AD$6,'Non-SWB Lists'!$A$1:$C$39,3,FALSE),FALSE)=0,"",VLOOKUP($D7,'Raw Data'!$B:$DE,VLOOKUP('Non-SWB CaseList'!AD$6,'Non-SWB Lists'!$A$1:$C$39,3,FALSE),FALSE)),"")</f>
        <v/>
      </c>
      <c r="AE7" s="9" t="str">
        <f>IFERROR(IF(VLOOKUP($D7,'Raw Data'!$B:$DE,VLOOKUP('Non-SWB CaseList'!AE$6,'Non-SWB Lists'!$A$1:$C$39,3,FALSE),FALSE)=0,"",VLOOKUP($D7,'Raw Data'!$B:$DE,VLOOKUP('Non-SWB CaseList'!AE$6,'Non-SWB Lists'!$A$1:$C$39,3,FALSE),FALSE)),"")</f>
        <v/>
      </c>
      <c r="AF7" s="9" t="str">
        <f>IFERROR(IF(VLOOKUP($D7,'Raw Data'!$B:$DE,VLOOKUP('Non-SWB CaseList'!AF$6,'Non-SWB Lists'!$A$1:$C$39,3,FALSE),FALSE)=0,"",VLOOKUP($D7,'Raw Data'!$B:$DE,VLOOKUP('Non-SWB CaseList'!AF$6,'Non-SWB Lists'!$A$1:$C$39,3,FALSE),FALSE)),"")</f>
        <v/>
      </c>
      <c r="AG7" s="9" t="str">
        <f>IFERROR(IF(VLOOKUP($D7,'Raw Data'!$B:$DE,VLOOKUP('Non-SWB CaseList'!AG$6,'Non-SWB Lists'!$A$1:$C$39,3,FALSE),FALSE)=0,"",VLOOKUP($D7,'Raw Data'!$B:$DE,VLOOKUP('Non-SWB CaseList'!AG$6,'Non-SWB Lists'!$A$1:$C$39,3,FALSE),FALSE)),"")</f>
        <v/>
      </c>
      <c r="AH7" s="9" t="str">
        <f>IFERROR(IF(VLOOKUP($D7,'Raw Data'!$B:$DE,VLOOKUP('Non-SWB CaseList'!AH$6,'Non-SWB Lists'!$A$1:$C$39,3,FALSE),FALSE)=0,"",VLOOKUP($D7,'Raw Data'!$B:$DE,VLOOKUP('Non-SWB CaseList'!AH$6,'Non-SWB Lists'!$A$1:$C$39,3,FALSE),FALSE)),"")</f>
        <v/>
      </c>
      <c r="AI7" s="9" t="str">
        <f>IFERROR(IF(VLOOKUP($D7,'Raw Data'!$B:$DE,VLOOKUP('Non-SWB CaseList'!AI$6,'Non-SWB Lists'!$A$1:$C$39,3,FALSE),FALSE)=0,"",VLOOKUP($D7,'Raw Data'!$B:$DE,VLOOKUP('Non-SWB CaseList'!AI$6,'Non-SWB Lists'!$A$1:$C$39,3,FALSE),FALSE)),"")</f>
        <v/>
      </c>
      <c r="AJ7" s="9" t="str">
        <f>IFERROR(IF(VLOOKUP($D7,'Raw Data'!$B:$DE,VLOOKUP('Non-SWB CaseList'!AJ$6,'Non-SWB Lists'!$A$1:$C$39,3,FALSE),FALSE)=0,"",VLOOKUP($D7,'Raw Data'!$B:$DE,VLOOKUP('Non-SWB CaseList'!AJ$6,'Non-SWB Lists'!$A$1:$C$39,3,FALSE),FALSE)),"")</f>
        <v/>
      </c>
      <c r="AK7" s="9" t="str">
        <f>IFERROR(IF(VLOOKUP($D7,'Raw Data'!$B:$DE,VLOOKUP('Non-SWB CaseList'!AK$6,'Non-SWB Lists'!$A$1:$C$39,3,FALSE),FALSE)=0,"",VLOOKUP($D7,'Raw Data'!$B:$DE,VLOOKUP('Non-SWB CaseList'!AK$6,'Non-SWB Lists'!$A$1:$C$39,3,FALSE),FALSE)),"")</f>
        <v/>
      </c>
      <c r="AL7" s="9" t="str">
        <f>IFERROR(IF(VLOOKUP($D7,'Raw Data'!$B:$DE,VLOOKUP('Non-SWB CaseList'!AL$6,'Non-SWB Lists'!$A$1:$C$39,3,FALSE),FALSE)=0,"",VLOOKUP($D7,'Raw Data'!$B:$DE,VLOOKUP('Non-SWB CaseList'!AL$6,'Non-SWB Lists'!$A$1:$C$39,3,FALSE),FALSE)),"")</f>
        <v/>
      </c>
      <c r="AM7" s="9" t="str">
        <f>IFERROR(IF(VLOOKUP($D7,'Raw Data'!$B:$DE,VLOOKUP('Non-SWB CaseList'!AM$6,'Non-SWB Lists'!$A$1:$C$39,3,FALSE),FALSE)=0,"",VLOOKUP($D7,'Raw Data'!$B:$DE,VLOOKUP('Non-SWB CaseList'!AM$6,'Non-SWB Lists'!$A$1:$C$39,3,FALSE),FALSE)),"")</f>
        <v/>
      </c>
      <c r="AN7" s="9" t="str">
        <f>IFERROR(IF(VLOOKUP($D7,'Raw Data'!$B:$DE,VLOOKUP('Non-SWB CaseList'!AN$6,'Non-SWB Lists'!$A$1:$C$39,3,FALSE),FALSE)=0,"NA",VLOOKUP($D7,'Raw Data'!$B:$DE,VLOOKUP('Non-SWB CaseList'!AN$6,'Non-SWB Lists'!$A$1:$C$39,3,FALSE),FALSE)),"NA")</f>
        <v>NA</v>
      </c>
      <c r="AO7" s="9" t="str">
        <f>IFERROR(IF(VLOOKUP($D7,'Raw Data'!$B:$DE,VLOOKUP('Non-SWB CaseList'!AO$6,'Non-SWB Lists'!$A$1:$C$39,3,FALSE),FALSE)=0,"",VLOOKUP($D7,'Raw Data'!$B:$DE,VLOOKUP('Non-SWB CaseList'!AO$6,'Non-SWB Lists'!$A$1:$C$39,3,FALSE),FALSE)),"")</f>
        <v/>
      </c>
      <c r="AP7" s="9" t="str">
        <f>IFERROR(IF(VLOOKUP($D7,'Raw Data'!$B:$DE,VLOOKUP('Non-SWB CaseList'!AP$6,'Non-SWB Lists'!$A$1:$C$39,3,FALSE),FALSE)=0,"",VLOOKUP($D7,'Raw Data'!$B:$DE,VLOOKUP('Non-SWB CaseList'!AP$6,'Non-SWB Lists'!$A$1:$C$39,3,FALSE),FALSE)),"")</f>
        <v/>
      </c>
      <c r="AQ7" s="9" t="str">
        <f>IFERROR(IF(VLOOKUP($D7,'Raw Data'!$B:$DE,VLOOKUP('Non-SWB CaseList'!AQ$6,'Non-SWB Lists'!$A$1:$C$39,3,FALSE),FALSE)=0,"",VLOOKUP($D7,'Raw Data'!$B:$DE,VLOOKUP('Non-SWB CaseList'!AQ$6,'Non-SWB Lists'!$A$1:$C$39,3,FALSE),FALSE)),"")</f>
        <v/>
      </c>
      <c r="AR7" s="9" t="str">
        <f>IFERROR(IF(VLOOKUP($D7,'Raw Data'!$B:$DE,VLOOKUP('Non-SWB CaseList'!AR$6,'Non-SWB Lists'!$A$1:$C$39,3,FALSE),FALSE)=0,"",VLOOKUP($D7,'Raw Data'!$B:$DE,VLOOKUP('Non-SWB CaseList'!AR$6,'Non-SWB Lists'!$A$1:$C$39,3,FALSE),FALSE)),"")</f>
        <v/>
      </c>
      <c r="AT7" s="8">
        <v>10000000205984</v>
      </c>
    </row>
    <row r="8" spans="1:46" x14ac:dyDescent="0.35">
      <c r="A8" s="46"/>
      <c r="B8" s="3" t="s">
        <v>44</v>
      </c>
      <c r="C8" s="3" t="s">
        <v>45</v>
      </c>
      <c r="D8" s="36">
        <v>12388158</v>
      </c>
      <c r="E8" s="37" t="str">
        <f>IFERROR(IF(VLOOKUP($D8,'Raw Data'!$B:$DE,VLOOKUP('Non-SWB CaseList'!E$6,'Non-SWB Lists'!$A$1:$C$39,3,FALSE),FALSE)=0,"",VLOOKUP($D8,'Raw Data'!$B:$DE,VLOOKUP('Non-SWB CaseList'!E$6,'Non-SWB Lists'!$A$1:$C$39,3,FALSE),FALSE)),"")</f>
        <v/>
      </c>
      <c r="F8" s="3" t="s">
        <v>46</v>
      </c>
      <c r="G8" s="38" t="str">
        <f>IFERROR(IF(VLOOKUP($D8,'Raw Data'!$B:$DE,VLOOKUP('Non-SWB CaseList'!G$6,'Non-SWB Lists'!$A$1:$C$39,3,FALSE),FALSE)=0,"",VLOOKUP($D8,'Raw Data'!$B:$DE,VLOOKUP('Non-SWB CaseList'!G$6,'Non-SWB Lists'!$A$1:$C$39,3,FALSE),FALSE)),"")</f>
        <v/>
      </c>
      <c r="H8" s="38" t="str">
        <f>IFERROR(IF(VLOOKUP($D8,'Raw Data'!$B:$DE,VLOOKUP('Non-SWB CaseList'!H$6,'Non-SWB Lists'!$A$1:$C$39,3,FALSE),FALSE)=0,"",VLOOKUP($D8,'Raw Data'!$B:$DE,VLOOKUP('Non-SWB CaseList'!H$6,'Non-SWB Lists'!$A$1:$C$39,3,FALSE),FALSE)),"")</f>
        <v/>
      </c>
      <c r="I8" s="38" t="str">
        <f>IFERROR(IF(VLOOKUP($D8,'Raw Data'!$B:$DE,VLOOKUP('Non-SWB CaseList'!I$6,'Non-SWB Lists'!$A$1:$C$39,3,FALSE),FALSE)=0,"",VLOOKUP($D8,'Raw Data'!$B:$DE,VLOOKUP('Non-SWB CaseList'!I$6,'Non-SWB Lists'!$A$1:$C$39,3,FALSE),FALSE)),"")</f>
        <v/>
      </c>
      <c r="J8" s="38" t="str">
        <f>IFERROR(IF(VLOOKUP($D8,'Raw Data'!$B:$DE,VLOOKUP('Non-SWB CaseList'!J$6,'Non-SWB Lists'!$A$1:$C$39,3,FALSE),FALSE)=0,"",VLOOKUP($D8,'Raw Data'!$B:$DE,VLOOKUP('Non-SWB CaseList'!J$6,'Non-SWB Lists'!$A$1:$C$39,3,FALSE),FALSE)),"")</f>
        <v/>
      </c>
      <c r="K8" s="38" t="str">
        <f>IFERROR(IF(VLOOKUP($D8,'Raw Data'!$B:$DE,VLOOKUP('Non-SWB CaseList'!K$6,'Non-SWB Lists'!$A$1:$C$39,3,FALSE),FALSE)=0,"",VLOOKUP($D8,'Raw Data'!$B:$DE,VLOOKUP('Non-SWB CaseList'!K$6,'Non-SWB Lists'!$A$1:$C$39,3,FALSE),FALSE)),"")</f>
        <v/>
      </c>
      <c r="L8" s="38" t="str">
        <f>IFERROR(IF(VLOOKUP($D8,'Raw Data'!$B:$DE,VLOOKUP('Non-SWB CaseList'!L$6,'Non-SWB Lists'!$A$1:$C$39,3,FALSE),FALSE)=0,"",VLOOKUP($D8,'Raw Data'!$B:$DE,VLOOKUP('Non-SWB CaseList'!L$6,'Non-SWB Lists'!$A$1:$C$39,3,FALSE),FALSE)),"")</f>
        <v/>
      </c>
      <c r="M8" s="38" t="str">
        <f>IFERROR(IF(VLOOKUP($D8,'Raw Data'!$B:$DE,VLOOKUP('Non-SWB CaseList'!M$6,'Non-SWB Lists'!$A$1:$C$39,3,FALSE),FALSE)=0,"",VLOOKUP($D8,'Raw Data'!$B:$DE,VLOOKUP('Non-SWB CaseList'!M$6,'Non-SWB Lists'!$A$1:$C$39,3,FALSE),FALSE)),"")</f>
        <v/>
      </c>
      <c r="N8" s="38" t="str">
        <f>IFERROR(IF(VLOOKUP($D8,'Raw Data'!$B:$DE,VLOOKUP('Non-SWB CaseList'!N$6,'Non-SWB Lists'!$A$1:$C$39,3,FALSE),FALSE)=0,"",VLOOKUP($D8,'Raw Data'!$B:$DE,VLOOKUP('Non-SWB CaseList'!N$6,'Non-SWB Lists'!$A$1:$C$39,3,FALSE),FALSE)),"")</f>
        <v/>
      </c>
      <c r="O8" s="39" t="str">
        <f>IFERROR(IF(VLOOKUP($D8,'Raw Data'!$B:$DE,VLOOKUP('Non-SWB CaseList'!O$6,'Non-SWB Lists'!$A$1:$C$39,3,FALSE),FALSE)=0,"",VLOOKUP($D8,'Raw Data'!$B:$DE,VLOOKUP('Non-SWB CaseList'!O$6,'Non-SWB Lists'!$A$1:$C$39,3,FALSE),FALSE)),"")</f>
        <v/>
      </c>
      <c r="P8" s="39" t="str">
        <f>IFERROR(IF(VLOOKUP($D8,'Raw Data'!$B:$DE,VLOOKUP('Non-SWB CaseList'!P$6,'Non-SWB Lists'!$A$1:$C$39,3,FALSE),FALSE)=0,"",VLOOKUP($D8,'Raw Data'!$B:$DE,VLOOKUP('Non-SWB CaseList'!P$6,'Non-SWB Lists'!$A$1:$C$39,3,FALSE),FALSE)),"")</f>
        <v/>
      </c>
      <c r="Q8" s="39" t="str">
        <f>IFERROR(IF(VLOOKUP($D8,'Raw Data'!$B:$DE,VLOOKUP('Non-SWB CaseList'!Q$6,'Non-SWB Lists'!$A$1:$C$39,3,FALSE),FALSE)=0,"",VLOOKUP($D8,'Raw Data'!$B:$DE,VLOOKUP('Non-SWB CaseList'!Q$6,'Non-SWB Lists'!$A$1:$C$39,3,FALSE),FALSE)),"")</f>
        <v/>
      </c>
      <c r="R8" s="39" t="str">
        <f>IFERROR(IF(VLOOKUP($D8,'Raw Data'!$B:$DE,VLOOKUP('Non-SWB CaseList'!R$6,'Non-SWB Lists'!$A$1:$C$39,3,FALSE),FALSE)=0,"",VLOOKUP($D8,'Raw Data'!$B:$DE,VLOOKUP('Non-SWB CaseList'!R$6,'Non-SWB Lists'!$A$1:$C$39,3,FALSE),FALSE)),"")</f>
        <v/>
      </c>
      <c r="S8" s="39" t="str">
        <f>IFERROR(IF(VLOOKUP($D8,'Raw Data'!$B:$DE,VLOOKUP('Non-SWB CaseList'!S$6,'Non-SWB Lists'!$A$1:$C$39,3,FALSE),FALSE)=0,"",VLOOKUP($D8,'Raw Data'!$B:$DE,VLOOKUP('Non-SWB CaseList'!S$6,'Non-SWB Lists'!$A$1:$C$39,3,FALSE),FALSE)),"")</f>
        <v/>
      </c>
      <c r="T8" s="39" t="str">
        <f>IFERROR(IF(VLOOKUP($D8,'Raw Data'!$B:$DE,VLOOKUP('Non-SWB CaseList'!T$6,'Non-SWB Lists'!$A$1:$C$39,3,FALSE),FALSE)=0,"",VLOOKUP($D8,'Raw Data'!$B:$DE,VLOOKUP('Non-SWB CaseList'!T$6,'Non-SWB Lists'!$A$1:$C$39,3,FALSE),FALSE)),"")</f>
        <v/>
      </c>
      <c r="U8" s="39" t="str">
        <f>IFERROR(IF(VLOOKUP($D8,'Raw Data'!$B:$DE,VLOOKUP('Non-SWB CaseList'!U$6,'Non-SWB Lists'!$A$1:$C$39,3,FALSE),FALSE)=0,"",VLOOKUP($D8,'Raw Data'!$B:$DE,VLOOKUP('Non-SWB CaseList'!U$6,'Non-SWB Lists'!$A$1:$C$39,3,FALSE),FALSE)),"")</f>
        <v/>
      </c>
      <c r="V8" s="39" t="str">
        <f>IFERROR(IF(VLOOKUP($D8,'Raw Data'!$B:$DE,VLOOKUP('Non-SWB CaseList'!V$6,'Non-SWB Lists'!$A$1:$C$39,3,FALSE),FALSE)=0,"",VLOOKUP($D8,'Raw Data'!$B:$DE,VLOOKUP('Non-SWB CaseList'!V$6,'Non-SWB Lists'!$A$1:$C$39,3,FALSE),FALSE)),"")</f>
        <v/>
      </c>
      <c r="W8" s="39" t="str">
        <f>IFERROR(IF(VLOOKUP($D8,'Raw Data'!$B:$DE,VLOOKUP('Non-SWB CaseList'!W$6,'Non-SWB Lists'!$A$1:$C$39,3,FALSE),FALSE)=0,"",VLOOKUP($D8,'Raw Data'!$B:$DE,VLOOKUP('Non-SWB CaseList'!W$6,'Non-SWB Lists'!$A$1:$C$39,3,FALSE),FALSE)),"")</f>
        <v/>
      </c>
      <c r="X8" s="39" t="str">
        <f>IFERROR(IF(VLOOKUP($D8,'Raw Data'!$B:$DE,VLOOKUP('Non-SWB CaseList'!X$6,'Non-SWB Lists'!$A$1:$C$39,3,FALSE),FALSE)=0,"",VLOOKUP($D8,'Raw Data'!$B:$DE,VLOOKUP('Non-SWB CaseList'!X$6,'Non-SWB Lists'!$A$1:$C$39,3,FALSE),FALSE)),"")</f>
        <v/>
      </c>
      <c r="Y8" s="39" t="str">
        <f>IFERROR(IF(VLOOKUP($D8,'Raw Data'!$B:$DE,VLOOKUP('Non-SWB CaseList'!Y$6,'Non-SWB Lists'!$A$1:$C$39,3,FALSE),FALSE)=0,"",VLOOKUP($D8,'Raw Data'!$B:$DE,VLOOKUP('Non-SWB CaseList'!Y$6,'Non-SWB Lists'!$A$1:$C$39,3,FALSE),FALSE)),"")</f>
        <v/>
      </c>
      <c r="Z8" s="39" t="str">
        <f>IFERROR(IF(VLOOKUP($D8,'Raw Data'!$B:$DE,VLOOKUP('Non-SWB CaseList'!Z$6,'Non-SWB Lists'!$A$1:$C$39,3,FALSE),FALSE)=0,"",VLOOKUP($D8,'Raw Data'!$B:$DE,VLOOKUP('Non-SWB CaseList'!Z$6,'Non-SWB Lists'!$A$1:$C$39,3,FALSE),FALSE)),"")</f>
        <v/>
      </c>
      <c r="AA8" s="39" t="str">
        <f>IFERROR(IF(VLOOKUP($D8,'Raw Data'!$B:$DE,VLOOKUP('Non-SWB CaseList'!AA$6,'Non-SWB Lists'!$A$1:$C$39,3,FALSE),FALSE)=0,"",VLOOKUP($D8,'Raw Data'!$B:$DE,VLOOKUP('Non-SWB CaseList'!AA$6,'Non-SWB Lists'!$A$1:$C$39,3,FALSE),FALSE)),"")</f>
        <v/>
      </c>
      <c r="AB8" s="39" t="str">
        <f>IFERROR(IF(VLOOKUP($D8,'Raw Data'!$B:$DE,VLOOKUP('Non-SWB CaseList'!AB$6,'Non-SWB Lists'!$A$1:$C$39,3,FALSE),FALSE)=0,"",VLOOKUP($D8,'Raw Data'!$B:$DE,VLOOKUP('Non-SWB CaseList'!AB$6,'Non-SWB Lists'!$A$1:$C$39,3,FALSE),FALSE)),"")</f>
        <v/>
      </c>
      <c r="AC8" s="39" t="str">
        <f>IFERROR(IF(VLOOKUP($D8,'Raw Data'!$B:$DE,VLOOKUP('Non-SWB CaseList'!AC$6,'Non-SWB Lists'!$A$1:$C$39,3,FALSE),FALSE)=0,"",VLOOKUP($D8,'Raw Data'!$B:$DE,VLOOKUP('Non-SWB CaseList'!AC$6,'Non-SWB Lists'!$A$1:$C$39,3,FALSE),FALSE)),"")</f>
        <v/>
      </c>
      <c r="AD8" s="39" t="str">
        <f>IFERROR(IF(VLOOKUP($D8,'Raw Data'!$B:$DE,VLOOKUP('Non-SWB CaseList'!AD$6,'Non-SWB Lists'!$A$1:$C$39,3,FALSE),FALSE)=0,"",VLOOKUP($D8,'Raw Data'!$B:$DE,VLOOKUP('Non-SWB CaseList'!AD$6,'Non-SWB Lists'!$A$1:$C$39,3,FALSE),FALSE)),"")</f>
        <v/>
      </c>
      <c r="AE8" s="39" t="str">
        <f>IFERROR(IF(VLOOKUP($D8,'Raw Data'!$B:$DE,VLOOKUP('Non-SWB CaseList'!AE$6,'Non-SWB Lists'!$A$1:$C$39,3,FALSE),FALSE)=0,"",VLOOKUP($D8,'Raw Data'!$B:$DE,VLOOKUP('Non-SWB CaseList'!AE$6,'Non-SWB Lists'!$A$1:$C$39,3,FALSE),FALSE)),"")</f>
        <v/>
      </c>
      <c r="AF8" s="39" t="str">
        <f>IFERROR(IF(VLOOKUP($D8,'Raw Data'!$B:$DE,VLOOKUP('Non-SWB CaseList'!AF$6,'Non-SWB Lists'!$A$1:$C$39,3,FALSE),FALSE)=0,"",VLOOKUP($D8,'Raw Data'!$B:$DE,VLOOKUP('Non-SWB CaseList'!AF$6,'Non-SWB Lists'!$A$1:$C$39,3,FALSE),FALSE)),"")</f>
        <v/>
      </c>
      <c r="AG8" s="39" t="str">
        <f>IFERROR(IF(VLOOKUP($D8,'Raw Data'!$B:$DE,VLOOKUP('Non-SWB CaseList'!AG$6,'Non-SWB Lists'!$A$1:$C$39,3,FALSE),FALSE)=0,"",VLOOKUP($D8,'Raw Data'!$B:$DE,VLOOKUP('Non-SWB CaseList'!AG$6,'Non-SWB Lists'!$A$1:$C$39,3,FALSE),FALSE)),"")</f>
        <v/>
      </c>
      <c r="AH8" s="39" t="str">
        <f>IFERROR(IF(VLOOKUP($D8,'Raw Data'!$B:$DE,VLOOKUP('Non-SWB CaseList'!AH$6,'Non-SWB Lists'!$A$1:$C$39,3,FALSE),FALSE)=0,"",VLOOKUP($D8,'Raw Data'!$B:$DE,VLOOKUP('Non-SWB CaseList'!AH$6,'Non-SWB Lists'!$A$1:$C$39,3,FALSE),FALSE)),"")</f>
        <v/>
      </c>
      <c r="AI8" s="39" t="str">
        <f>IFERROR(IF(VLOOKUP($D8,'Raw Data'!$B:$DE,VLOOKUP('Non-SWB CaseList'!AI$6,'Non-SWB Lists'!$A$1:$C$39,3,FALSE),FALSE)=0,"",VLOOKUP($D8,'Raw Data'!$B:$DE,VLOOKUP('Non-SWB CaseList'!AI$6,'Non-SWB Lists'!$A$1:$C$39,3,FALSE),FALSE)),"")</f>
        <v/>
      </c>
      <c r="AJ8" s="39" t="str">
        <f>IFERROR(IF(VLOOKUP($D8,'Raw Data'!$B:$DE,VLOOKUP('Non-SWB CaseList'!AJ$6,'Non-SWB Lists'!$A$1:$C$39,3,FALSE),FALSE)=0,"",VLOOKUP($D8,'Raw Data'!$B:$DE,VLOOKUP('Non-SWB CaseList'!AJ$6,'Non-SWB Lists'!$A$1:$C$39,3,FALSE),FALSE)),"")</f>
        <v/>
      </c>
      <c r="AK8" s="39" t="str">
        <f>IFERROR(IF(VLOOKUP($D8,'Raw Data'!$B:$DE,VLOOKUP('Non-SWB CaseList'!AK$6,'Non-SWB Lists'!$A$1:$C$39,3,FALSE),FALSE)=0,"",VLOOKUP($D8,'Raw Data'!$B:$DE,VLOOKUP('Non-SWB CaseList'!AK$6,'Non-SWB Lists'!$A$1:$C$39,3,FALSE),FALSE)),"")</f>
        <v/>
      </c>
      <c r="AL8" s="39" t="str">
        <f>IFERROR(IF(VLOOKUP($D8,'Raw Data'!$B:$DE,VLOOKUP('Non-SWB CaseList'!AL$6,'Non-SWB Lists'!$A$1:$C$39,3,FALSE),FALSE)=0,"",VLOOKUP($D8,'Raw Data'!$B:$DE,VLOOKUP('Non-SWB CaseList'!AL$6,'Non-SWB Lists'!$A$1:$C$39,3,FALSE),FALSE)),"")</f>
        <v/>
      </c>
      <c r="AM8" s="39" t="str">
        <f>IFERROR(IF(VLOOKUP($D8,'Raw Data'!$B:$DE,VLOOKUP('Non-SWB CaseList'!AM$6,'Non-SWB Lists'!$A$1:$C$39,3,FALSE),FALSE)=0,"",VLOOKUP($D8,'Raw Data'!$B:$DE,VLOOKUP('Non-SWB CaseList'!AM$6,'Non-SWB Lists'!$A$1:$C$39,3,FALSE),FALSE)),"")</f>
        <v/>
      </c>
      <c r="AN8" s="39" t="str">
        <f>IFERROR(IF(VLOOKUP($D8,'Raw Data'!$B:$DE,VLOOKUP('Non-SWB CaseList'!AN$6,'Non-SWB Lists'!$A$1:$C$39,3,FALSE),FALSE)=0,"NA",VLOOKUP($D8,'Raw Data'!$B:$DE,VLOOKUP('Non-SWB CaseList'!AN$6,'Non-SWB Lists'!$A$1:$C$39,3,FALSE),FALSE)),"NA")</f>
        <v>NA</v>
      </c>
      <c r="AO8" s="39" t="str">
        <f>IFERROR(IF(VLOOKUP($D8,'Raw Data'!$B:$DE,VLOOKUP('Non-SWB CaseList'!AO$6,'Non-SWB Lists'!$A$1:$C$39,3,FALSE),FALSE)=0,"",VLOOKUP($D8,'Raw Data'!$B:$DE,VLOOKUP('Non-SWB CaseList'!AO$6,'Non-SWB Lists'!$A$1:$C$39,3,FALSE),FALSE)),"")</f>
        <v/>
      </c>
      <c r="AP8" s="39" t="str">
        <f>IFERROR(IF(VLOOKUP($D8,'Raw Data'!$B:$DE,VLOOKUP('Non-SWB CaseList'!AP$6,'Non-SWB Lists'!$A$1:$C$39,3,FALSE),FALSE)=0,"",VLOOKUP($D8,'Raw Data'!$B:$DE,VLOOKUP('Non-SWB CaseList'!AP$6,'Non-SWB Lists'!$A$1:$C$39,3,FALSE),FALSE)),"")</f>
        <v/>
      </c>
      <c r="AQ8" s="39" t="str">
        <f>IFERROR(IF(VLOOKUP($D8,'Raw Data'!$B:$DE,VLOOKUP('Non-SWB CaseList'!AQ$6,'Non-SWB Lists'!$A$1:$C$39,3,FALSE),FALSE)=0,"",VLOOKUP($D8,'Raw Data'!$B:$DE,VLOOKUP('Non-SWB CaseList'!AQ$6,'Non-SWB Lists'!$A$1:$C$39,3,FALSE),FALSE)),"")</f>
        <v/>
      </c>
      <c r="AR8" s="39" t="str">
        <f>IFERROR(IF(VLOOKUP($D8,'Raw Data'!$B:$DE,VLOOKUP('Non-SWB CaseList'!AR$6,'Non-SWB Lists'!$A$1:$C$39,3,FALSE),FALSE)=0,"",VLOOKUP($D8,'Raw Data'!$B:$DE,VLOOKUP('Non-SWB CaseList'!AR$6,'Non-SWB Lists'!$A$1:$C$39,3,FALSE),FALSE)),"")</f>
        <v/>
      </c>
      <c r="AT8" s="8">
        <v>10000000205975</v>
      </c>
    </row>
    <row r="9" spans="1:46" x14ac:dyDescent="0.35">
      <c r="A9" s="46"/>
      <c r="B9" s="3" t="s">
        <v>44</v>
      </c>
      <c r="C9" s="3" t="s">
        <v>45</v>
      </c>
      <c r="D9" s="36">
        <v>12368333</v>
      </c>
      <c r="E9" s="37" t="str">
        <f>IFERROR(IF(VLOOKUP($D9,'Raw Data'!$B:$DE,VLOOKUP('Non-SWB CaseList'!E$6,'Non-SWB Lists'!$A$1:$C$39,3,FALSE),FALSE)=0,"",VLOOKUP($D9,'Raw Data'!$B:$DE,VLOOKUP('Non-SWB CaseList'!E$6,'Non-SWB Lists'!$A$1:$C$39,3,FALSE),FALSE)),"")</f>
        <v/>
      </c>
      <c r="F9" s="3" t="s">
        <v>46</v>
      </c>
      <c r="G9" s="38" t="str">
        <f>IFERROR(IF(VLOOKUP($D9,'Raw Data'!$B:$DE,VLOOKUP('Non-SWB CaseList'!G$6,'Non-SWB Lists'!$A$1:$C$39,3,FALSE),FALSE)=0,"",VLOOKUP($D9,'Raw Data'!$B:$DE,VLOOKUP('Non-SWB CaseList'!G$6,'Non-SWB Lists'!$A$1:$C$39,3,FALSE),FALSE)),"")</f>
        <v/>
      </c>
      <c r="H9" s="38" t="str">
        <f>IFERROR(IF(VLOOKUP($D9,'Raw Data'!$B:$DE,VLOOKUP('Non-SWB CaseList'!H$6,'Non-SWB Lists'!$A$1:$C$39,3,FALSE),FALSE)=0,"",VLOOKUP($D9,'Raw Data'!$B:$DE,VLOOKUP('Non-SWB CaseList'!H$6,'Non-SWB Lists'!$A$1:$C$39,3,FALSE),FALSE)),"")</f>
        <v/>
      </c>
      <c r="I9" s="38" t="str">
        <f>IFERROR(IF(VLOOKUP($D9,'Raw Data'!$B:$DE,VLOOKUP('Non-SWB CaseList'!I$6,'Non-SWB Lists'!$A$1:$C$39,3,FALSE),FALSE)=0,"",VLOOKUP($D9,'Raw Data'!$B:$DE,VLOOKUP('Non-SWB CaseList'!I$6,'Non-SWB Lists'!$A$1:$C$39,3,FALSE),FALSE)),"")</f>
        <v/>
      </c>
      <c r="J9" s="38" t="str">
        <f>IFERROR(IF(VLOOKUP($D9,'Raw Data'!$B:$DE,VLOOKUP('Non-SWB CaseList'!J$6,'Non-SWB Lists'!$A$1:$C$39,3,FALSE),FALSE)=0,"",VLOOKUP($D9,'Raw Data'!$B:$DE,VLOOKUP('Non-SWB CaseList'!J$6,'Non-SWB Lists'!$A$1:$C$39,3,FALSE),FALSE)),"")</f>
        <v/>
      </c>
      <c r="K9" s="38" t="str">
        <f>IFERROR(IF(VLOOKUP($D9,'Raw Data'!$B:$DE,VLOOKUP('Non-SWB CaseList'!K$6,'Non-SWB Lists'!$A$1:$C$39,3,FALSE),FALSE)=0,"",VLOOKUP($D9,'Raw Data'!$B:$DE,VLOOKUP('Non-SWB CaseList'!K$6,'Non-SWB Lists'!$A$1:$C$39,3,FALSE),FALSE)),"")</f>
        <v/>
      </c>
      <c r="L9" s="38" t="str">
        <f>IFERROR(IF(VLOOKUP($D9,'Raw Data'!$B:$DE,VLOOKUP('Non-SWB CaseList'!L$6,'Non-SWB Lists'!$A$1:$C$39,3,FALSE),FALSE)=0,"",VLOOKUP($D9,'Raw Data'!$B:$DE,VLOOKUP('Non-SWB CaseList'!L$6,'Non-SWB Lists'!$A$1:$C$39,3,FALSE),FALSE)),"")</f>
        <v/>
      </c>
      <c r="M9" s="38" t="str">
        <f>IFERROR(IF(VLOOKUP($D9,'Raw Data'!$B:$DE,VLOOKUP('Non-SWB CaseList'!M$6,'Non-SWB Lists'!$A$1:$C$39,3,FALSE),FALSE)=0,"",VLOOKUP($D9,'Raw Data'!$B:$DE,VLOOKUP('Non-SWB CaseList'!M$6,'Non-SWB Lists'!$A$1:$C$39,3,FALSE),FALSE)),"")</f>
        <v/>
      </c>
      <c r="N9" s="38" t="str">
        <f>IFERROR(IF(VLOOKUP($D9,'Raw Data'!$B:$DE,VLOOKUP('Non-SWB CaseList'!N$6,'Non-SWB Lists'!$A$1:$C$39,3,FALSE),FALSE)=0,"",VLOOKUP($D9,'Raw Data'!$B:$DE,VLOOKUP('Non-SWB CaseList'!N$6,'Non-SWB Lists'!$A$1:$C$39,3,FALSE),FALSE)),"")</f>
        <v/>
      </c>
      <c r="O9" s="39" t="str">
        <f>IFERROR(IF(VLOOKUP($D9,'Raw Data'!$B:$DE,VLOOKUP('Non-SWB CaseList'!O$6,'Non-SWB Lists'!$A$1:$C$39,3,FALSE),FALSE)=0,"",VLOOKUP($D9,'Raw Data'!$B:$DE,VLOOKUP('Non-SWB CaseList'!O$6,'Non-SWB Lists'!$A$1:$C$39,3,FALSE),FALSE)),"")</f>
        <v/>
      </c>
      <c r="P9" s="39" t="str">
        <f>IFERROR(IF(VLOOKUP($D9,'Raw Data'!$B:$DE,VLOOKUP('Non-SWB CaseList'!P$6,'Non-SWB Lists'!$A$1:$C$39,3,FALSE),FALSE)=0,"",VLOOKUP($D9,'Raw Data'!$B:$DE,VLOOKUP('Non-SWB CaseList'!P$6,'Non-SWB Lists'!$A$1:$C$39,3,FALSE),FALSE)),"")</f>
        <v/>
      </c>
      <c r="Q9" s="39" t="str">
        <f>IFERROR(IF(VLOOKUP($D9,'Raw Data'!$B:$DE,VLOOKUP('Non-SWB CaseList'!Q$6,'Non-SWB Lists'!$A$1:$C$39,3,FALSE),FALSE)=0,"",VLOOKUP($D9,'Raw Data'!$B:$DE,VLOOKUP('Non-SWB CaseList'!Q$6,'Non-SWB Lists'!$A$1:$C$39,3,FALSE),FALSE)),"")</f>
        <v/>
      </c>
      <c r="R9" s="39" t="str">
        <f>IFERROR(IF(VLOOKUP($D9,'Raw Data'!$B:$DE,VLOOKUP('Non-SWB CaseList'!R$6,'Non-SWB Lists'!$A$1:$C$39,3,FALSE),FALSE)=0,"",VLOOKUP($D9,'Raw Data'!$B:$DE,VLOOKUP('Non-SWB CaseList'!R$6,'Non-SWB Lists'!$A$1:$C$39,3,FALSE),FALSE)),"")</f>
        <v/>
      </c>
      <c r="S9" s="39" t="str">
        <f>IFERROR(IF(VLOOKUP($D9,'Raw Data'!$B:$DE,VLOOKUP('Non-SWB CaseList'!S$6,'Non-SWB Lists'!$A$1:$C$39,3,FALSE),FALSE)=0,"",VLOOKUP($D9,'Raw Data'!$B:$DE,VLOOKUP('Non-SWB CaseList'!S$6,'Non-SWB Lists'!$A$1:$C$39,3,FALSE),FALSE)),"")</f>
        <v/>
      </c>
      <c r="T9" s="39" t="str">
        <f>IFERROR(IF(VLOOKUP($D9,'Raw Data'!$B:$DE,VLOOKUP('Non-SWB CaseList'!T$6,'Non-SWB Lists'!$A$1:$C$39,3,FALSE),FALSE)=0,"",VLOOKUP($D9,'Raw Data'!$B:$DE,VLOOKUP('Non-SWB CaseList'!T$6,'Non-SWB Lists'!$A$1:$C$39,3,FALSE),FALSE)),"")</f>
        <v/>
      </c>
      <c r="U9" s="39" t="str">
        <f>IFERROR(IF(VLOOKUP($D9,'Raw Data'!$B:$DE,VLOOKUP('Non-SWB CaseList'!U$6,'Non-SWB Lists'!$A$1:$C$39,3,FALSE),FALSE)=0,"",VLOOKUP($D9,'Raw Data'!$B:$DE,VLOOKUP('Non-SWB CaseList'!U$6,'Non-SWB Lists'!$A$1:$C$39,3,FALSE),FALSE)),"")</f>
        <v/>
      </c>
      <c r="V9" s="39" t="str">
        <f>IFERROR(IF(VLOOKUP($D9,'Raw Data'!$B:$DE,VLOOKUP('Non-SWB CaseList'!V$6,'Non-SWB Lists'!$A$1:$C$39,3,FALSE),FALSE)=0,"",VLOOKUP($D9,'Raw Data'!$B:$DE,VLOOKUP('Non-SWB CaseList'!V$6,'Non-SWB Lists'!$A$1:$C$39,3,FALSE),FALSE)),"")</f>
        <v/>
      </c>
      <c r="W9" s="39" t="str">
        <f>IFERROR(IF(VLOOKUP($D9,'Raw Data'!$B:$DE,VLOOKUP('Non-SWB CaseList'!W$6,'Non-SWB Lists'!$A$1:$C$39,3,FALSE),FALSE)=0,"",VLOOKUP($D9,'Raw Data'!$B:$DE,VLOOKUP('Non-SWB CaseList'!W$6,'Non-SWB Lists'!$A$1:$C$39,3,FALSE),FALSE)),"")</f>
        <v/>
      </c>
      <c r="X9" s="39" t="str">
        <f>IFERROR(IF(VLOOKUP($D9,'Raw Data'!$B:$DE,VLOOKUP('Non-SWB CaseList'!X$6,'Non-SWB Lists'!$A$1:$C$39,3,FALSE),FALSE)=0,"",VLOOKUP($D9,'Raw Data'!$B:$DE,VLOOKUP('Non-SWB CaseList'!X$6,'Non-SWB Lists'!$A$1:$C$39,3,FALSE),FALSE)),"")</f>
        <v/>
      </c>
      <c r="Y9" s="39" t="str">
        <f>IFERROR(IF(VLOOKUP($D9,'Raw Data'!$B:$DE,VLOOKUP('Non-SWB CaseList'!Y$6,'Non-SWB Lists'!$A$1:$C$39,3,FALSE),FALSE)=0,"",VLOOKUP($D9,'Raw Data'!$B:$DE,VLOOKUP('Non-SWB CaseList'!Y$6,'Non-SWB Lists'!$A$1:$C$39,3,FALSE),FALSE)),"")</f>
        <v/>
      </c>
      <c r="Z9" s="39" t="str">
        <f>IFERROR(IF(VLOOKUP($D9,'Raw Data'!$B:$DE,VLOOKUP('Non-SWB CaseList'!Z$6,'Non-SWB Lists'!$A$1:$C$39,3,FALSE),FALSE)=0,"",VLOOKUP($D9,'Raw Data'!$B:$DE,VLOOKUP('Non-SWB CaseList'!Z$6,'Non-SWB Lists'!$A$1:$C$39,3,FALSE),FALSE)),"")</f>
        <v/>
      </c>
      <c r="AA9" s="39" t="str">
        <f>IFERROR(IF(VLOOKUP($D9,'Raw Data'!$B:$DE,VLOOKUP('Non-SWB CaseList'!AA$6,'Non-SWB Lists'!$A$1:$C$39,3,FALSE),FALSE)=0,"",VLOOKUP($D9,'Raw Data'!$B:$DE,VLOOKUP('Non-SWB CaseList'!AA$6,'Non-SWB Lists'!$A$1:$C$39,3,FALSE),FALSE)),"")</f>
        <v/>
      </c>
      <c r="AB9" s="39" t="str">
        <f>IFERROR(IF(VLOOKUP($D9,'Raw Data'!$B:$DE,VLOOKUP('Non-SWB CaseList'!AB$6,'Non-SWB Lists'!$A$1:$C$39,3,FALSE),FALSE)=0,"",VLOOKUP($D9,'Raw Data'!$B:$DE,VLOOKUP('Non-SWB CaseList'!AB$6,'Non-SWB Lists'!$A$1:$C$39,3,FALSE),FALSE)),"")</f>
        <v/>
      </c>
      <c r="AC9" s="39" t="str">
        <f>IFERROR(IF(VLOOKUP($D9,'Raw Data'!$B:$DE,VLOOKUP('Non-SWB CaseList'!AC$6,'Non-SWB Lists'!$A$1:$C$39,3,FALSE),FALSE)=0,"",VLOOKUP($D9,'Raw Data'!$B:$DE,VLOOKUP('Non-SWB CaseList'!AC$6,'Non-SWB Lists'!$A$1:$C$39,3,FALSE),FALSE)),"")</f>
        <v/>
      </c>
      <c r="AD9" s="39" t="str">
        <f>IFERROR(IF(VLOOKUP($D9,'Raw Data'!$B:$DE,VLOOKUP('Non-SWB CaseList'!AD$6,'Non-SWB Lists'!$A$1:$C$39,3,FALSE),FALSE)=0,"",VLOOKUP($D9,'Raw Data'!$B:$DE,VLOOKUP('Non-SWB CaseList'!AD$6,'Non-SWB Lists'!$A$1:$C$39,3,FALSE),FALSE)),"")</f>
        <v/>
      </c>
      <c r="AE9" s="39" t="str">
        <f>IFERROR(IF(VLOOKUP($D9,'Raw Data'!$B:$DE,VLOOKUP('Non-SWB CaseList'!AE$6,'Non-SWB Lists'!$A$1:$C$39,3,FALSE),FALSE)=0,"",VLOOKUP($D9,'Raw Data'!$B:$DE,VLOOKUP('Non-SWB CaseList'!AE$6,'Non-SWB Lists'!$A$1:$C$39,3,FALSE),FALSE)),"")</f>
        <v/>
      </c>
      <c r="AF9" s="39" t="str">
        <f>IFERROR(IF(VLOOKUP($D9,'Raw Data'!$B:$DE,VLOOKUP('Non-SWB CaseList'!AF$6,'Non-SWB Lists'!$A$1:$C$39,3,FALSE),FALSE)=0,"",VLOOKUP($D9,'Raw Data'!$B:$DE,VLOOKUP('Non-SWB CaseList'!AF$6,'Non-SWB Lists'!$A$1:$C$39,3,FALSE),FALSE)),"")</f>
        <v/>
      </c>
      <c r="AG9" s="39" t="str">
        <f>IFERROR(IF(VLOOKUP($D9,'Raw Data'!$B:$DE,VLOOKUP('Non-SWB CaseList'!AG$6,'Non-SWB Lists'!$A$1:$C$39,3,FALSE),FALSE)=0,"",VLOOKUP($D9,'Raw Data'!$B:$DE,VLOOKUP('Non-SWB CaseList'!AG$6,'Non-SWB Lists'!$A$1:$C$39,3,FALSE),FALSE)),"")</f>
        <v/>
      </c>
      <c r="AH9" s="39" t="str">
        <f>IFERROR(IF(VLOOKUP($D9,'Raw Data'!$B:$DE,VLOOKUP('Non-SWB CaseList'!AH$6,'Non-SWB Lists'!$A$1:$C$39,3,FALSE),FALSE)=0,"",VLOOKUP($D9,'Raw Data'!$B:$DE,VLOOKUP('Non-SWB CaseList'!AH$6,'Non-SWB Lists'!$A$1:$C$39,3,FALSE),FALSE)),"")</f>
        <v/>
      </c>
      <c r="AI9" s="39" t="str">
        <f>IFERROR(IF(VLOOKUP($D9,'Raw Data'!$B:$DE,VLOOKUP('Non-SWB CaseList'!AI$6,'Non-SWB Lists'!$A$1:$C$39,3,FALSE),FALSE)=0,"",VLOOKUP($D9,'Raw Data'!$B:$DE,VLOOKUP('Non-SWB CaseList'!AI$6,'Non-SWB Lists'!$A$1:$C$39,3,FALSE),FALSE)),"")</f>
        <v/>
      </c>
      <c r="AJ9" s="39" t="str">
        <f>IFERROR(IF(VLOOKUP($D9,'Raw Data'!$B:$DE,VLOOKUP('Non-SWB CaseList'!AJ$6,'Non-SWB Lists'!$A$1:$C$39,3,FALSE),FALSE)=0,"",VLOOKUP($D9,'Raw Data'!$B:$DE,VLOOKUP('Non-SWB CaseList'!AJ$6,'Non-SWB Lists'!$A$1:$C$39,3,FALSE),FALSE)),"")</f>
        <v/>
      </c>
      <c r="AK9" s="39" t="str">
        <f>IFERROR(IF(VLOOKUP($D9,'Raw Data'!$B:$DE,VLOOKUP('Non-SWB CaseList'!AK$6,'Non-SWB Lists'!$A$1:$C$39,3,FALSE),FALSE)=0,"",VLOOKUP($D9,'Raw Data'!$B:$DE,VLOOKUP('Non-SWB CaseList'!AK$6,'Non-SWB Lists'!$A$1:$C$39,3,FALSE),FALSE)),"")</f>
        <v/>
      </c>
      <c r="AL9" s="39" t="str">
        <f>IFERROR(IF(VLOOKUP($D9,'Raw Data'!$B:$DE,VLOOKUP('Non-SWB CaseList'!AL$6,'Non-SWB Lists'!$A$1:$C$39,3,FALSE),FALSE)=0,"",VLOOKUP($D9,'Raw Data'!$B:$DE,VLOOKUP('Non-SWB CaseList'!AL$6,'Non-SWB Lists'!$A$1:$C$39,3,FALSE),FALSE)),"")</f>
        <v/>
      </c>
      <c r="AM9" s="39" t="str">
        <f>IFERROR(IF(VLOOKUP($D9,'Raw Data'!$B:$DE,VLOOKUP('Non-SWB CaseList'!AM$6,'Non-SWB Lists'!$A$1:$C$39,3,FALSE),FALSE)=0,"",VLOOKUP($D9,'Raw Data'!$B:$DE,VLOOKUP('Non-SWB CaseList'!AM$6,'Non-SWB Lists'!$A$1:$C$39,3,FALSE),FALSE)),"")</f>
        <v/>
      </c>
      <c r="AN9" s="39" t="str">
        <f>IFERROR(IF(VLOOKUP($D9,'Raw Data'!$B:$DE,VLOOKUP('Non-SWB CaseList'!AN$6,'Non-SWB Lists'!$A$1:$C$39,3,FALSE),FALSE)=0,"NA",VLOOKUP($D9,'Raw Data'!$B:$DE,VLOOKUP('Non-SWB CaseList'!AN$6,'Non-SWB Lists'!$A$1:$C$39,3,FALSE),FALSE)),"NA")</f>
        <v>NA</v>
      </c>
      <c r="AO9" s="39" t="str">
        <f>IFERROR(IF(VLOOKUP($D9,'Raw Data'!$B:$DE,VLOOKUP('Non-SWB CaseList'!AO$6,'Non-SWB Lists'!$A$1:$C$39,3,FALSE),FALSE)=0,"",VLOOKUP($D9,'Raw Data'!$B:$DE,VLOOKUP('Non-SWB CaseList'!AO$6,'Non-SWB Lists'!$A$1:$C$39,3,FALSE),FALSE)),"")</f>
        <v/>
      </c>
      <c r="AP9" s="39" t="str">
        <f>IFERROR(IF(VLOOKUP($D9,'Raw Data'!$B:$DE,VLOOKUP('Non-SWB CaseList'!AP$6,'Non-SWB Lists'!$A$1:$C$39,3,FALSE),FALSE)=0,"",VLOOKUP($D9,'Raw Data'!$B:$DE,VLOOKUP('Non-SWB CaseList'!AP$6,'Non-SWB Lists'!$A$1:$C$39,3,FALSE),FALSE)),"")</f>
        <v/>
      </c>
      <c r="AQ9" s="39" t="str">
        <f>IFERROR(IF(VLOOKUP($D9,'Raw Data'!$B:$DE,VLOOKUP('Non-SWB CaseList'!AQ$6,'Non-SWB Lists'!$A$1:$C$39,3,FALSE),FALSE)=0,"",VLOOKUP($D9,'Raw Data'!$B:$DE,VLOOKUP('Non-SWB CaseList'!AQ$6,'Non-SWB Lists'!$A$1:$C$39,3,FALSE),FALSE)),"")</f>
        <v/>
      </c>
      <c r="AR9" s="39" t="str">
        <f>IFERROR(IF(VLOOKUP($D9,'Raw Data'!$B:$DE,VLOOKUP('Non-SWB CaseList'!AR$6,'Non-SWB Lists'!$A$1:$C$39,3,FALSE),FALSE)=0,"",VLOOKUP($D9,'Raw Data'!$B:$DE,VLOOKUP('Non-SWB CaseList'!AR$6,'Non-SWB Lists'!$A$1:$C$39,3,FALSE),FALSE)),"")</f>
        <v/>
      </c>
      <c r="AT9" s="8">
        <v>10000000205988</v>
      </c>
    </row>
    <row r="10" spans="1:46" x14ac:dyDescent="0.35">
      <c r="A10" s="40"/>
      <c r="B10" s="3" t="s">
        <v>44</v>
      </c>
      <c r="C10" s="3" t="s">
        <v>45</v>
      </c>
      <c r="D10" s="32">
        <v>12390053</v>
      </c>
      <c r="E10" s="33" t="str">
        <f>IFERROR(IF(VLOOKUP($D10,'Raw Data'!$B:$DE,VLOOKUP('Non-SWB CaseList'!E$6,'Non-SWB Lists'!$A$1:$C$39,3,FALSE),FALSE)=0,"",VLOOKUP($D10,'Raw Data'!$B:$DE,VLOOKUP('Non-SWB CaseList'!E$6,'Non-SWB Lists'!$A$1:$C$39,3,FALSE),FALSE)),"")</f>
        <v/>
      </c>
      <c r="F10" s="3" t="s">
        <v>46</v>
      </c>
      <c r="G10" s="2" t="str">
        <f>IFERROR(IF(VLOOKUP($D10,'Raw Data'!$B:$DE,VLOOKUP('Non-SWB CaseList'!G$6,'Non-SWB Lists'!$A$1:$C$39,3,FALSE),FALSE)=0,"",VLOOKUP($D10,'Raw Data'!$B:$DE,VLOOKUP('Non-SWB CaseList'!G$6,'Non-SWB Lists'!$A$1:$C$39,3,FALSE),FALSE)),"")</f>
        <v/>
      </c>
      <c r="H10" s="2" t="str">
        <f>IFERROR(IF(VLOOKUP($D10,'Raw Data'!$B:$DE,VLOOKUP('Non-SWB CaseList'!H$6,'Non-SWB Lists'!$A$1:$C$39,3,FALSE),FALSE)=0,"",VLOOKUP($D10,'Raw Data'!$B:$DE,VLOOKUP('Non-SWB CaseList'!H$6,'Non-SWB Lists'!$A$1:$C$39,3,FALSE),FALSE)),"")</f>
        <v/>
      </c>
      <c r="I10" s="2" t="str">
        <f>IFERROR(IF(VLOOKUP($D10,'Raw Data'!$B:$DE,VLOOKUP('Non-SWB CaseList'!I$6,'Non-SWB Lists'!$A$1:$C$39,3,FALSE),FALSE)=0,"",VLOOKUP($D10,'Raw Data'!$B:$DE,VLOOKUP('Non-SWB CaseList'!I$6,'Non-SWB Lists'!$A$1:$C$39,3,FALSE),FALSE)),"")</f>
        <v/>
      </c>
      <c r="J10" s="2" t="str">
        <f>IFERROR(IF(VLOOKUP($D10,'Raw Data'!$B:$DE,VLOOKUP('Non-SWB CaseList'!J$6,'Non-SWB Lists'!$A$1:$C$39,3,FALSE),FALSE)=0,"",VLOOKUP($D10,'Raw Data'!$B:$DE,VLOOKUP('Non-SWB CaseList'!J$6,'Non-SWB Lists'!$A$1:$C$39,3,FALSE),FALSE)),"")</f>
        <v/>
      </c>
      <c r="K10" s="2" t="str">
        <f>IFERROR(IF(VLOOKUP($D10,'Raw Data'!$B:$DE,VLOOKUP('Non-SWB CaseList'!K$6,'Non-SWB Lists'!$A$1:$C$39,3,FALSE),FALSE)=0,"",VLOOKUP($D10,'Raw Data'!$B:$DE,VLOOKUP('Non-SWB CaseList'!K$6,'Non-SWB Lists'!$A$1:$C$39,3,FALSE),FALSE)),"")</f>
        <v/>
      </c>
      <c r="L10" s="2" t="str">
        <f>IFERROR(IF(VLOOKUP($D10,'Raw Data'!$B:$DE,VLOOKUP('Non-SWB CaseList'!L$6,'Non-SWB Lists'!$A$1:$C$39,3,FALSE),FALSE)=0,"",VLOOKUP($D10,'Raw Data'!$B:$DE,VLOOKUP('Non-SWB CaseList'!L$6,'Non-SWB Lists'!$A$1:$C$39,3,FALSE),FALSE)),"")</f>
        <v/>
      </c>
      <c r="M10" s="2" t="str">
        <f>IFERROR(IF(VLOOKUP($D10,'Raw Data'!$B:$DE,VLOOKUP('Non-SWB CaseList'!M$6,'Non-SWB Lists'!$A$1:$C$39,3,FALSE),FALSE)=0,"",VLOOKUP($D10,'Raw Data'!$B:$DE,VLOOKUP('Non-SWB CaseList'!M$6,'Non-SWB Lists'!$A$1:$C$39,3,FALSE),FALSE)),"")</f>
        <v/>
      </c>
      <c r="N10" s="2" t="str">
        <f>IFERROR(IF(VLOOKUP($D10,'Raw Data'!$B:$DE,VLOOKUP('Non-SWB CaseList'!N$6,'Non-SWB Lists'!$A$1:$C$39,3,FALSE),FALSE)=0,"",VLOOKUP($D10,'Raw Data'!$B:$DE,VLOOKUP('Non-SWB CaseList'!N$6,'Non-SWB Lists'!$A$1:$C$39,3,FALSE),FALSE)),"")</f>
        <v/>
      </c>
      <c r="O10" s="9" t="str">
        <f>IFERROR(IF(VLOOKUP($D10,'Raw Data'!$B:$DE,VLOOKUP('Non-SWB CaseList'!O$6,'Non-SWB Lists'!$A$1:$C$39,3,FALSE),FALSE)=0,"",VLOOKUP($D10,'Raw Data'!$B:$DE,VLOOKUP('Non-SWB CaseList'!O$6,'Non-SWB Lists'!$A$1:$C$39,3,FALSE),FALSE)),"")</f>
        <v/>
      </c>
      <c r="P10" s="9" t="str">
        <f>IFERROR(IF(VLOOKUP($D10,'Raw Data'!$B:$DE,VLOOKUP('Non-SWB CaseList'!P$6,'Non-SWB Lists'!$A$1:$C$39,3,FALSE),FALSE)=0,"",VLOOKUP($D10,'Raw Data'!$B:$DE,VLOOKUP('Non-SWB CaseList'!P$6,'Non-SWB Lists'!$A$1:$C$39,3,FALSE),FALSE)),"")</f>
        <v/>
      </c>
      <c r="Q10" s="9" t="str">
        <f>IFERROR(IF(VLOOKUP($D10,'Raw Data'!$B:$DE,VLOOKUP('Non-SWB CaseList'!Q$6,'Non-SWB Lists'!$A$1:$C$39,3,FALSE),FALSE)=0,"",VLOOKUP($D10,'Raw Data'!$B:$DE,VLOOKUP('Non-SWB CaseList'!Q$6,'Non-SWB Lists'!$A$1:$C$39,3,FALSE),FALSE)),"")</f>
        <v/>
      </c>
      <c r="R10" s="9" t="str">
        <f>IFERROR(IF(VLOOKUP($D10,'Raw Data'!$B:$DE,VLOOKUP('Non-SWB CaseList'!R$6,'Non-SWB Lists'!$A$1:$C$39,3,FALSE),FALSE)=0,"",VLOOKUP($D10,'Raw Data'!$B:$DE,VLOOKUP('Non-SWB CaseList'!R$6,'Non-SWB Lists'!$A$1:$C$39,3,FALSE),FALSE)),"")</f>
        <v/>
      </c>
      <c r="S10" s="9" t="str">
        <f>IFERROR(IF(VLOOKUP($D10,'Raw Data'!$B:$DE,VLOOKUP('Non-SWB CaseList'!S$6,'Non-SWB Lists'!$A$1:$C$39,3,FALSE),FALSE)=0,"",VLOOKUP($D10,'Raw Data'!$B:$DE,VLOOKUP('Non-SWB CaseList'!S$6,'Non-SWB Lists'!$A$1:$C$39,3,FALSE),FALSE)),"")</f>
        <v/>
      </c>
      <c r="T10" s="9" t="str">
        <f>IFERROR(IF(VLOOKUP($D10,'Raw Data'!$B:$DE,VLOOKUP('Non-SWB CaseList'!T$6,'Non-SWB Lists'!$A$1:$C$39,3,FALSE),FALSE)=0,"",VLOOKUP($D10,'Raw Data'!$B:$DE,VLOOKUP('Non-SWB CaseList'!T$6,'Non-SWB Lists'!$A$1:$C$39,3,FALSE),FALSE)),"")</f>
        <v/>
      </c>
      <c r="U10" s="9" t="str">
        <f>IFERROR(IF(VLOOKUP($D10,'Raw Data'!$B:$DE,VLOOKUP('Non-SWB CaseList'!U$6,'Non-SWB Lists'!$A$1:$C$39,3,FALSE),FALSE)=0,"",VLOOKUP($D10,'Raw Data'!$B:$DE,VLOOKUP('Non-SWB CaseList'!U$6,'Non-SWB Lists'!$A$1:$C$39,3,FALSE),FALSE)),"")</f>
        <v/>
      </c>
      <c r="V10" s="9" t="str">
        <f>IFERROR(IF(VLOOKUP($D10,'Raw Data'!$B:$DE,VLOOKUP('Non-SWB CaseList'!V$6,'Non-SWB Lists'!$A$1:$C$39,3,FALSE),FALSE)=0,"",VLOOKUP($D10,'Raw Data'!$B:$DE,VLOOKUP('Non-SWB CaseList'!V$6,'Non-SWB Lists'!$A$1:$C$39,3,FALSE),FALSE)),"")</f>
        <v/>
      </c>
      <c r="W10" s="9" t="str">
        <f>IFERROR(IF(VLOOKUP($D10,'Raw Data'!$B:$DE,VLOOKUP('Non-SWB CaseList'!W$6,'Non-SWB Lists'!$A$1:$C$39,3,FALSE),FALSE)=0,"",VLOOKUP($D10,'Raw Data'!$B:$DE,VLOOKUP('Non-SWB CaseList'!W$6,'Non-SWB Lists'!$A$1:$C$39,3,FALSE),FALSE)),"")</f>
        <v/>
      </c>
      <c r="X10" s="9" t="str">
        <f>IFERROR(IF(VLOOKUP($D10,'Raw Data'!$B:$DE,VLOOKUP('Non-SWB CaseList'!X$6,'Non-SWB Lists'!$A$1:$C$39,3,FALSE),FALSE)=0,"",VLOOKUP($D10,'Raw Data'!$B:$DE,VLOOKUP('Non-SWB CaseList'!X$6,'Non-SWB Lists'!$A$1:$C$39,3,FALSE),FALSE)),"")</f>
        <v/>
      </c>
      <c r="Y10" s="9" t="str">
        <f>IFERROR(IF(VLOOKUP($D10,'Raw Data'!$B:$DE,VLOOKUP('Non-SWB CaseList'!Y$6,'Non-SWB Lists'!$A$1:$C$39,3,FALSE),FALSE)=0,"",VLOOKUP($D10,'Raw Data'!$B:$DE,VLOOKUP('Non-SWB CaseList'!Y$6,'Non-SWB Lists'!$A$1:$C$39,3,FALSE),FALSE)),"")</f>
        <v/>
      </c>
      <c r="Z10" s="9" t="str">
        <f>IFERROR(IF(VLOOKUP($D10,'Raw Data'!$B:$DE,VLOOKUP('Non-SWB CaseList'!Z$6,'Non-SWB Lists'!$A$1:$C$39,3,FALSE),FALSE)=0,"",VLOOKUP($D10,'Raw Data'!$B:$DE,VLOOKUP('Non-SWB CaseList'!Z$6,'Non-SWB Lists'!$A$1:$C$39,3,FALSE),FALSE)),"")</f>
        <v/>
      </c>
      <c r="AA10" s="9" t="str">
        <f>IFERROR(IF(VLOOKUP($D10,'Raw Data'!$B:$DE,VLOOKUP('Non-SWB CaseList'!AA$6,'Non-SWB Lists'!$A$1:$C$39,3,FALSE),FALSE)=0,"",VLOOKUP($D10,'Raw Data'!$B:$DE,VLOOKUP('Non-SWB CaseList'!AA$6,'Non-SWB Lists'!$A$1:$C$39,3,FALSE),FALSE)),"")</f>
        <v/>
      </c>
      <c r="AB10" s="9" t="str">
        <f>IFERROR(IF(VLOOKUP($D10,'Raw Data'!$B:$DE,VLOOKUP('Non-SWB CaseList'!AB$6,'Non-SWB Lists'!$A$1:$C$39,3,FALSE),FALSE)=0,"",VLOOKUP($D10,'Raw Data'!$B:$DE,VLOOKUP('Non-SWB CaseList'!AB$6,'Non-SWB Lists'!$A$1:$C$39,3,FALSE),FALSE)),"")</f>
        <v/>
      </c>
      <c r="AC10" s="9" t="str">
        <f>IFERROR(IF(VLOOKUP($D10,'Raw Data'!$B:$DE,VLOOKUP('Non-SWB CaseList'!AC$6,'Non-SWB Lists'!$A$1:$C$39,3,FALSE),FALSE)=0,"",VLOOKUP($D10,'Raw Data'!$B:$DE,VLOOKUP('Non-SWB CaseList'!AC$6,'Non-SWB Lists'!$A$1:$C$39,3,FALSE),FALSE)),"")</f>
        <v/>
      </c>
      <c r="AD10" s="9" t="str">
        <f>IFERROR(IF(VLOOKUP($D10,'Raw Data'!$B:$DE,VLOOKUP('Non-SWB CaseList'!AD$6,'Non-SWB Lists'!$A$1:$C$39,3,FALSE),FALSE)=0,"",VLOOKUP($D10,'Raw Data'!$B:$DE,VLOOKUP('Non-SWB CaseList'!AD$6,'Non-SWB Lists'!$A$1:$C$39,3,FALSE),FALSE)),"")</f>
        <v/>
      </c>
      <c r="AE10" s="9" t="str">
        <f>IFERROR(IF(VLOOKUP($D10,'Raw Data'!$B:$DE,VLOOKUP('Non-SWB CaseList'!AE$6,'Non-SWB Lists'!$A$1:$C$39,3,FALSE),FALSE)=0,"",VLOOKUP($D10,'Raw Data'!$B:$DE,VLOOKUP('Non-SWB CaseList'!AE$6,'Non-SWB Lists'!$A$1:$C$39,3,FALSE),FALSE)),"")</f>
        <v/>
      </c>
      <c r="AF10" s="9" t="str">
        <f>IFERROR(IF(VLOOKUP($D10,'Raw Data'!$B:$DE,VLOOKUP('Non-SWB CaseList'!AF$6,'Non-SWB Lists'!$A$1:$C$39,3,FALSE),FALSE)=0,"",VLOOKUP($D10,'Raw Data'!$B:$DE,VLOOKUP('Non-SWB CaseList'!AF$6,'Non-SWB Lists'!$A$1:$C$39,3,FALSE),FALSE)),"")</f>
        <v/>
      </c>
      <c r="AG10" s="9" t="str">
        <f>IFERROR(IF(VLOOKUP($D10,'Raw Data'!$B:$DE,VLOOKUP('Non-SWB CaseList'!AG$6,'Non-SWB Lists'!$A$1:$C$39,3,FALSE),FALSE)=0,"",VLOOKUP($D10,'Raw Data'!$B:$DE,VLOOKUP('Non-SWB CaseList'!AG$6,'Non-SWB Lists'!$A$1:$C$39,3,FALSE),FALSE)),"")</f>
        <v/>
      </c>
      <c r="AH10" s="9" t="str">
        <f>IFERROR(IF(VLOOKUP($D10,'Raw Data'!$B:$DE,VLOOKUP('Non-SWB CaseList'!AH$6,'Non-SWB Lists'!$A$1:$C$39,3,FALSE),FALSE)=0,"",VLOOKUP($D10,'Raw Data'!$B:$DE,VLOOKUP('Non-SWB CaseList'!AH$6,'Non-SWB Lists'!$A$1:$C$39,3,FALSE),FALSE)),"")</f>
        <v/>
      </c>
      <c r="AI10" s="9" t="str">
        <f>IFERROR(IF(VLOOKUP($D10,'Raw Data'!$B:$DE,VLOOKUP('Non-SWB CaseList'!AI$6,'Non-SWB Lists'!$A$1:$C$39,3,FALSE),FALSE)=0,"",VLOOKUP($D10,'Raw Data'!$B:$DE,VLOOKUP('Non-SWB CaseList'!AI$6,'Non-SWB Lists'!$A$1:$C$39,3,FALSE),FALSE)),"")</f>
        <v/>
      </c>
      <c r="AJ10" s="9" t="str">
        <f>IFERROR(IF(VLOOKUP($D10,'Raw Data'!$B:$DE,VLOOKUP('Non-SWB CaseList'!AJ$6,'Non-SWB Lists'!$A$1:$C$39,3,FALSE),FALSE)=0,"",VLOOKUP($D10,'Raw Data'!$B:$DE,VLOOKUP('Non-SWB CaseList'!AJ$6,'Non-SWB Lists'!$A$1:$C$39,3,FALSE),FALSE)),"")</f>
        <v/>
      </c>
      <c r="AK10" s="9" t="str">
        <f>IFERROR(IF(VLOOKUP($D10,'Raw Data'!$B:$DE,VLOOKUP('Non-SWB CaseList'!AK$6,'Non-SWB Lists'!$A$1:$C$39,3,FALSE),FALSE)=0,"",VLOOKUP($D10,'Raw Data'!$B:$DE,VLOOKUP('Non-SWB CaseList'!AK$6,'Non-SWB Lists'!$A$1:$C$39,3,FALSE),FALSE)),"")</f>
        <v/>
      </c>
      <c r="AL10" s="9" t="str">
        <f>IFERROR(IF(VLOOKUP($D10,'Raw Data'!$B:$DE,VLOOKUP('Non-SWB CaseList'!AL$6,'Non-SWB Lists'!$A$1:$C$39,3,FALSE),FALSE)=0,"",VLOOKUP($D10,'Raw Data'!$B:$DE,VLOOKUP('Non-SWB CaseList'!AL$6,'Non-SWB Lists'!$A$1:$C$39,3,FALSE),FALSE)),"")</f>
        <v/>
      </c>
      <c r="AM10" s="9" t="str">
        <f>IFERROR(IF(VLOOKUP($D10,'Raw Data'!$B:$DE,VLOOKUP('Non-SWB CaseList'!AM$6,'Non-SWB Lists'!$A$1:$C$39,3,FALSE),FALSE)=0,"",VLOOKUP($D10,'Raw Data'!$B:$DE,VLOOKUP('Non-SWB CaseList'!AM$6,'Non-SWB Lists'!$A$1:$C$39,3,FALSE),FALSE)),"")</f>
        <v/>
      </c>
      <c r="AN10" s="9" t="str">
        <f>IFERROR(IF(VLOOKUP($D10,'Raw Data'!$B:$DE,VLOOKUP('Non-SWB CaseList'!AN$6,'Non-SWB Lists'!$A$1:$C$39,3,FALSE),FALSE)=0,"NA",VLOOKUP($D10,'Raw Data'!$B:$DE,VLOOKUP('Non-SWB CaseList'!AN$6,'Non-SWB Lists'!$A$1:$C$39,3,FALSE),FALSE)),"NA")</f>
        <v>NA</v>
      </c>
      <c r="AO10" s="9" t="str">
        <f>IFERROR(IF(VLOOKUP($D10,'Raw Data'!$B:$DE,VLOOKUP('Non-SWB CaseList'!AO$6,'Non-SWB Lists'!$A$1:$C$39,3,FALSE),FALSE)=0,"",VLOOKUP($D10,'Raw Data'!$B:$DE,VLOOKUP('Non-SWB CaseList'!AO$6,'Non-SWB Lists'!$A$1:$C$39,3,FALSE),FALSE)),"")</f>
        <v/>
      </c>
      <c r="AP10" s="9" t="str">
        <f>IFERROR(IF(VLOOKUP($D10,'Raw Data'!$B:$DE,VLOOKUP('Non-SWB CaseList'!AP$6,'Non-SWB Lists'!$A$1:$C$39,3,FALSE),FALSE)=0,"",VLOOKUP($D10,'Raw Data'!$B:$DE,VLOOKUP('Non-SWB CaseList'!AP$6,'Non-SWB Lists'!$A$1:$C$39,3,FALSE),FALSE)),"")</f>
        <v/>
      </c>
      <c r="AQ10" s="9" t="str">
        <f>IFERROR(IF(VLOOKUP($D10,'Raw Data'!$B:$DE,VLOOKUP('Non-SWB CaseList'!AQ$6,'Non-SWB Lists'!$A$1:$C$39,3,FALSE),FALSE)=0,"",VLOOKUP($D10,'Raw Data'!$B:$DE,VLOOKUP('Non-SWB CaseList'!AQ$6,'Non-SWB Lists'!$A$1:$C$39,3,FALSE),FALSE)),"")</f>
        <v/>
      </c>
      <c r="AR10" s="9" t="str">
        <f>IFERROR(IF(VLOOKUP($D10,'Raw Data'!$B:$DE,VLOOKUP('Non-SWB CaseList'!AR$6,'Non-SWB Lists'!$A$1:$C$39,3,FALSE),FALSE)=0,"",VLOOKUP($D10,'Raw Data'!$B:$DE,VLOOKUP('Non-SWB CaseList'!AR$6,'Non-SWB Lists'!$A$1:$C$39,3,FALSE),FALSE)),"")</f>
        <v/>
      </c>
      <c r="AT10" s="8">
        <v>10000000205986</v>
      </c>
    </row>
    <row r="11" spans="1:46" x14ac:dyDescent="0.35">
      <c r="A11" s="46"/>
      <c r="B11" s="3" t="s">
        <v>44</v>
      </c>
      <c r="C11" s="3" t="s">
        <v>45</v>
      </c>
      <c r="D11" s="36">
        <v>12390056</v>
      </c>
      <c r="E11" s="37" t="str">
        <f>IFERROR(IF(VLOOKUP($D11,'Raw Data'!$B:$DE,VLOOKUP('Non-SWB CaseList'!E$6,'Non-SWB Lists'!$A$1:$C$39,3,FALSE),FALSE)=0,"",VLOOKUP($D11,'Raw Data'!$B:$DE,VLOOKUP('Non-SWB CaseList'!E$6,'Non-SWB Lists'!$A$1:$C$39,3,FALSE),FALSE)),"")</f>
        <v/>
      </c>
      <c r="F11" s="3" t="s">
        <v>46</v>
      </c>
      <c r="G11" s="38" t="str">
        <f>IFERROR(IF(VLOOKUP($D11,'Raw Data'!$B:$DE,VLOOKUP('Non-SWB CaseList'!G$6,'Non-SWB Lists'!$A$1:$C$39,3,FALSE),FALSE)=0,"",VLOOKUP($D11,'Raw Data'!$B:$DE,VLOOKUP('Non-SWB CaseList'!G$6,'Non-SWB Lists'!$A$1:$C$39,3,FALSE),FALSE)),"")</f>
        <v/>
      </c>
      <c r="H11" s="38" t="str">
        <f>IFERROR(IF(VLOOKUP($D11,'Raw Data'!$B:$DE,VLOOKUP('Non-SWB CaseList'!H$6,'Non-SWB Lists'!$A$1:$C$39,3,FALSE),FALSE)=0,"",VLOOKUP($D11,'Raw Data'!$B:$DE,VLOOKUP('Non-SWB CaseList'!H$6,'Non-SWB Lists'!$A$1:$C$39,3,FALSE),FALSE)),"")</f>
        <v/>
      </c>
      <c r="I11" s="38" t="str">
        <f>IFERROR(IF(VLOOKUP($D11,'Raw Data'!$B:$DE,VLOOKUP('Non-SWB CaseList'!I$6,'Non-SWB Lists'!$A$1:$C$39,3,FALSE),FALSE)=0,"",VLOOKUP($D11,'Raw Data'!$B:$DE,VLOOKUP('Non-SWB CaseList'!I$6,'Non-SWB Lists'!$A$1:$C$39,3,FALSE),FALSE)),"")</f>
        <v/>
      </c>
      <c r="J11" s="38" t="str">
        <f>IFERROR(IF(VLOOKUP($D11,'Raw Data'!$B:$DE,VLOOKUP('Non-SWB CaseList'!J$6,'Non-SWB Lists'!$A$1:$C$39,3,FALSE),FALSE)=0,"",VLOOKUP($D11,'Raw Data'!$B:$DE,VLOOKUP('Non-SWB CaseList'!J$6,'Non-SWB Lists'!$A$1:$C$39,3,FALSE),FALSE)),"")</f>
        <v/>
      </c>
      <c r="K11" s="38" t="str">
        <f>IFERROR(IF(VLOOKUP($D11,'Raw Data'!$B:$DE,VLOOKUP('Non-SWB CaseList'!K$6,'Non-SWB Lists'!$A$1:$C$39,3,FALSE),FALSE)=0,"",VLOOKUP($D11,'Raw Data'!$B:$DE,VLOOKUP('Non-SWB CaseList'!K$6,'Non-SWB Lists'!$A$1:$C$39,3,FALSE),FALSE)),"")</f>
        <v/>
      </c>
      <c r="L11" s="38" t="str">
        <f>IFERROR(IF(VLOOKUP($D11,'Raw Data'!$B:$DE,VLOOKUP('Non-SWB CaseList'!L$6,'Non-SWB Lists'!$A$1:$C$39,3,FALSE),FALSE)=0,"",VLOOKUP($D11,'Raw Data'!$B:$DE,VLOOKUP('Non-SWB CaseList'!L$6,'Non-SWB Lists'!$A$1:$C$39,3,FALSE),FALSE)),"")</f>
        <v/>
      </c>
      <c r="M11" s="38" t="str">
        <f>IFERROR(IF(VLOOKUP($D11,'Raw Data'!$B:$DE,VLOOKUP('Non-SWB CaseList'!M$6,'Non-SWB Lists'!$A$1:$C$39,3,FALSE),FALSE)=0,"",VLOOKUP($D11,'Raw Data'!$B:$DE,VLOOKUP('Non-SWB CaseList'!M$6,'Non-SWB Lists'!$A$1:$C$39,3,FALSE),FALSE)),"")</f>
        <v/>
      </c>
      <c r="N11" s="38" t="str">
        <f>IFERROR(IF(VLOOKUP($D11,'Raw Data'!$B:$DE,VLOOKUP('Non-SWB CaseList'!N$6,'Non-SWB Lists'!$A$1:$C$39,3,FALSE),FALSE)=0,"",VLOOKUP($D11,'Raw Data'!$B:$DE,VLOOKUP('Non-SWB CaseList'!N$6,'Non-SWB Lists'!$A$1:$C$39,3,FALSE),FALSE)),"")</f>
        <v/>
      </c>
      <c r="O11" s="39" t="str">
        <f>IFERROR(IF(VLOOKUP($D11,'Raw Data'!$B:$DE,VLOOKUP('Non-SWB CaseList'!O$6,'Non-SWB Lists'!$A$1:$C$39,3,FALSE),FALSE)=0,"",VLOOKUP($D11,'Raw Data'!$B:$DE,VLOOKUP('Non-SWB CaseList'!O$6,'Non-SWB Lists'!$A$1:$C$39,3,FALSE),FALSE)),"")</f>
        <v/>
      </c>
      <c r="P11" s="39" t="str">
        <f>IFERROR(IF(VLOOKUP($D11,'Raw Data'!$B:$DE,VLOOKUP('Non-SWB CaseList'!P$6,'Non-SWB Lists'!$A$1:$C$39,3,FALSE),FALSE)=0,"",VLOOKUP($D11,'Raw Data'!$B:$DE,VLOOKUP('Non-SWB CaseList'!P$6,'Non-SWB Lists'!$A$1:$C$39,3,FALSE),FALSE)),"")</f>
        <v/>
      </c>
      <c r="Q11" s="39" t="str">
        <f>IFERROR(IF(VLOOKUP($D11,'Raw Data'!$B:$DE,VLOOKUP('Non-SWB CaseList'!Q$6,'Non-SWB Lists'!$A$1:$C$39,3,FALSE),FALSE)=0,"",VLOOKUP($D11,'Raw Data'!$B:$DE,VLOOKUP('Non-SWB CaseList'!Q$6,'Non-SWB Lists'!$A$1:$C$39,3,FALSE),FALSE)),"")</f>
        <v/>
      </c>
      <c r="R11" s="39" t="str">
        <f>IFERROR(IF(VLOOKUP($D11,'Raw Data'!$B:$DE,VLOOKUP('Non-SWB CaseList'!R$6,'Non-SWB Lists'!$A$1:$C$39,3,FALSE),FALSE)=0,"",VLOOKUP($D11,'Raw Data'!$B:$DE,VLOOKUP('Non-SWB CaseList'!R$6,'Non-SWB Lists'!$A$1:$C$39,3,FALSE),FALSE)),"")</f>
        <v/>
      </c>
      <c r="S11" s="39" t="str">
        <f>IFERROR(IF(VLOOKUP($D11,'Raw Data'!$B:$DE,VLOOKUP('Non-SWB CaseList'!S$6,'Non-SWB Lists'!$A$1:$C$39,3,FALSE),FALSE)=0,"",VLOOKUP($D11,'Raw Data'!$B:$DE,VLOOKUP('Non-SWB CaseList'!S$6,'Non-SWB Lists'!$A$1:$C$39,3,FALSE),FALSE)),"")</f>
        <v/>
      </c>
      <c r="T11" s="39" t="str">
        <f>IFERROR(IF(VLOOKUP($D11,'Raw Data'!$B:$DE,VLOOKUP('Non-SWB CaseList'!T$6,'Non-SWB Lists'!$A$1:$C$39,3,FALSE),FALSE)=0,"",VLOOKUP($D11,'Raw Data'!$B:$DE,VLOOKUP('Non-SWB CaseList'!T$6,'Non-SWB Lists'!$A$1:$C$39,3,FALSE),FALSE)),"")</f>
        <v/>
      </c>
      <c r="U11" s="39" t="str">
        <f>IFERROR(IF(VLOOKUP($D11,'Raw Data'!$B:$DE,VLOOKUP('Non-SWB CaseList'!U$6,'Non-SWB Lists'!$A$1:$C$39,3,FALSE),FALSE)=0,"",VLOOKUP($D11,'Raw Data'!$B:$DE,VLOOKUP('Non-SWB CaseList'!U$6,'Non-SWB Lists'!$A$1:$C$39,3,FALSE),FALSE)),"")</f>
        <v/>
      </c>
      <c r="V11" s="39" t="str">
        <f>IFERROR(IF(VLOOKUP($D11,'Raw Data'!$B:$DE,VLOOKUP('Non-SWB CaseList'!V$6,'Non-SWB Lists'!$A$1:$C$39,3,FALSE),FALSE)=0,"",VLOOKUP($D11,'Raw Data'!$B:$DE,VLOOKUP('Non-SWB CaseList'!V$6,'Non-SWB Lists'!$A$1:$C$39,3,FALSE),FALSE)),"")</f>
        <v/>
      </c>
      <c r="W11" s="39" t="str">
        <f>IFERROR(IF(VLOOKUP($D11,'Raw Data'!$B:$DE,VLOOKUP('Non-SWB CaseList'!W$6,'Non-SWB Lists'!$A$1:$C$39,3,FALSE),FALSE)=0,"",VLOOKUP($D11,'Raw Data'!$B:$DE,VLOOKUP('Non-SWB CaseList'!W$6,'Non-SWB Lists'!$A$1:$C$39,3,FALSE),FALSE)),"")</f>
        <v/>
      </c>
      <c r="X11" s="39" t="str">
        <f>IFERROR(IF(VLOOKUP($D11,'Raw Data'!$B:$DE,VLOOKUP('Non-SWB CaseList'!X$6,'Non-SWB Lists'!$A$1:$C$39,3,FALSE),FALSE)=0,"",VLOOKUP($D11,'Raw Data'!$B:$DE,VLOOKUP('Non-SWB CaseList'!X$6,'Non-SWB Lists'!$A$1:$C$39,3,FALSE),FALSE)),"")</f>
        <v/>
      </c>
      <c r="Y11" s="39" t="str">
        <f>IFERROR(IF(VLOOKUP($D11,'Raw Data'!$B:$DE,VLOOKUP('Non-SWB CaseList'!Y$6,'Non-SWB Lists'!$A$1:$C$39,3,FALSE),FALSE)=0,"",VLOOKUP($D11,'Raw Data'!$B:$DE,VLOOKUP('Non-SWB CaseList'!Y$6,'Non-SWB Lists'!$A$1:$C$39,3,FALSE),FALSE)),"")</f>
        <v/>
      </c>
      <c r="Z11" s="39" t="str">
        <f>IFERROR(IF(VLOOKUP($D11,'Raw Data'!$B:$DE,VLOOKUP('Non-SWB CaseList'!Z$6,'Non-SWB Lists'!$A$1:$C$39,3,FALSE),FALSE)=0,"",VLOOKUP($D11,'Raw Data'!$B:$DE,VLOOKUP('Non-SWB CaseList'!Z$6,'Non-SWB Lists'!$A$1:$C$39,3,FALSE),FALSE)),"")</f>
        <v/>
      </c>
      <c r="AA11" s="39" t="str">
        <f>IFERROR(IF(VLOOKUP($D11,'Raw Data'!$B:$DE,VLOOKUP('Non-SWB CaseList'!AA$6,'Non-SWB Lists'!$A$1:$C$39,3,FALSE),FALSE)=0,"",VLOOKUP($D11,'Raw Data'!$B:$DE,VLOOKUP('Non-SWB CaseList'!AA$6,'Non-SWB Lists'!$A$1:$C$39,3,FALSE),FALSE)),"")</f>
        <v/>
      </c>
      <c r="AB11" s="39" t="str">
        <f>IFERROR(IF(VLOOKUP($D11,'Raw Data'!$B:$DE,VLOOKUP('Non-SWB CaseList'!AB$6,'Non-SWB Lists'!$A$1:$C$39,3,FALSE),FALSE)=0,"",VLOOKUP($D11,'Raw Data'!$B:$DE,VLOOKUP('Non-SWB CaseList'!AB$6,'Non-SWB Lists'!$A$1:$C$39,3,FALSE),FALSE)),"")</f>
        <v/>
      </c>
      <c r="AC11" s="39" t="str">
        <f>IFERROR(IF(VLOOKUP($D11,'Raw Data'!$B:$DE,VLOOKUP('Non-SWB CaseList'!AC$6,'Non-SWB Lists'!$A$1:$C$39,3,FALSE),FALSE)=0,"",VLOOKUP($D11,'Raw Data'!$B:$DE,VLOOKUP('Non-SWB CaseList'!AC$6,'Non-SWB Lists'!$A$1:$C$39,3,FALSE),FALSE)),"")</f>
        <v/>
      </c>
      <c r="AD11" s="39" t="str">
        <f>IFERROR(IF(VLOOKUP($D11,'Raw Data'!$B:$DE,VLOOKUP('Non-SWB CaseList'!AD$6,'Non-SWB Lists'!$A$1:$C$39,3,FALSE),FALSE)=0,"",VLOOKUP($D11,'Raw Data'!$B:$DE,VLOOKUP('Non-SWB CaseList'!AD$6,'Non-SWB Lists'!$A$1:$C$39,3,FALSE),FALSE)),"")</f>
        <v/>
      </c>
      <c r="AE11" s="39" t="str">
        <f>IFERROR(IF(VLOOKUP($D11,'Raw Data'!$B:$DE,VLOOKUP('Non-SWB CaseList'!AE$6,'Non-SWB Lists'!$A$1:$C$39,3,FALSE),FALSE)=0,"",VLOOKUP($D11,'Raw Data'!$B:$DE,VLOOKUP('Non-SWB CaseList'!AE$6,'Non-SWB Lists'!$A$1:$C$39,3,FALSE),FALSE)),"")</f>
        <v/>
      </c>
      <c r="AF11" s="39" t="str">
        <f>IFERROR(IF(VLOOKUP($D11,'Raw Data'!$B:$DE,VLOOKUP('Non-SWB CaseList'!AF$6,'Non-SWB Lists'!$A$1:$C$39,3,FALSE),FALSE)=0,"",VLOOKUP($D11,'Raw Data'!$B:$DE,VLOOKUP('Non-SWB CaseList'!AF$6,'Non-SWB Lists'!$A$1:$C$39,3,FALSE),FALSE)),"")</f>
        <v/>
      </c>
      <c r="AG11" s="39" t="str">
        <f>IFERROR(IF(VLOOKUP($D11,'Raw Data'!$B:$DE,VLOOKUP('Non-SWB CaseList'!AG$6,'Non-SWB Lists'!$A$1:$C$39,3,FALSE),FALSE)=0,"",VLOOKUP($D11,'Raw Data'!$B:$DE,VLOOKUP('Non-SWB CaseList'!AG$6,'Non-SWB Lists'!$A$1:$C$39,3,FALSE),FALSE)),"")</f>
        <v/>
      </c>
      <c r="AH11" s="39" t="str">
        <f>IFERROR(IF(VLOOKUP($D11,'Raw Data'!$B:$DE,VLOOKUP('Non-SWB CaseList'!AH$6,'Non-SWB Lists'!$A$1:$C$39,3,FALSE),FALSE)=0,"",VLOOKUP($D11,'Raw Data'!$B:$DE,VLOOKUP('Non-SWB CaseList'!AH$6,'Non-SWB Lists'!$A$1:$C$39,3,FALSE),FALSE)),"")</f>
        <v/>
      </c>
      <c r="AI11" s="39" t="str">
        <f>IFERROR(IF(VLOOKUP($D11,'Raw Data'!$B:$DE,VLOOKUP('Non-SWB CaseList'!AI$6,'Non-SWB Lists'!$A$1:$C$39,3,FALSE),FALSE)=0,"",VLOOKUP($D11,'Raw Data'!$B:$DE,VLOOKUP('Non-SWB CaseList'!AI$6,'Non-SWB Lists'!$A$1:$C$39,3,FALSE),FALSE)),"")</f>
        <v/>
      </c>
      <c r="AJ11" s="39" t="str">
        <f>IFERROR(IF(VLOOKUP($D11,'Raw Data'!$B:$DE,VLOOKUP('Non-SWB CaseList'!AJ$6,'Non-SWB Lists'!$A$1:$C$39,3,FALSE),FALSE)=0,"",VLOOKUP($D11,'Raw Data'!$B:$DE,VLOOKUP('Non-SWB CaseList'!AJ$6,'Non-SWB Lists'!$A$1:$C$39,3,FALSE),FALSE)),"")</f>
        <v/>
      </c>
      <c r="AK11" s="39" t="str">
        <f>IFERROR(IF(VLOOKUP($D11,'Raw Data'!$B:$DE,VLOOKUP('Non-SWB CaseList'!AK$6,'Non-SWB Lists'!$A$1:$C$39,3,FALSE),FALSE)=0,"",VLOOKUP($D11,'Raw Data'!$B:$DE,VLOOKUP('Non-SWB CaseList'!AK$6,'Non-SWB Lists'!$A$1:$C$39,3,FALSE),FALSE)),"")</f>
        <v/>
      </c>
      <c r="AL11" s="39" t="str">
        <f>IFERROR(IF(VLOOKUP($D11,'Raw Data'!$B:$DE,VLOOKUP('Non-SWB CaseList'!AL$6,'Non-SWB Lists'!$A$1:$C$39,3,FALSE),FALSE)=0,"",VLOOKUP($D11,'Raw Data'!$B:$DE,VLOOKUP('Non-SWB CaseList'!AL$6,'Non-SWB Lists'!$A$1:$C$39,3,FALSE),FALSE)),"")</f>
        <v/>
      </c>
      <c r="AM11" s="39" t="str">
        <f>IFERROR(IF(VLOOKUP($D11,'Raw Data'!$B:$DE,VLOOKUP('Non-SWB CaseList'!AM$6,'Non-SWB Lists'!$A$1:$C$39,3,FALSE),FALSE)=0,"",VLOOKUP($D11,'Raw Data'!$B:$DE,VLOOKUP('Non-SWB CaseList'!AM$6,'Non-SWB Lists'!$A$1:$C$39,3,FALSE),FALSE)),"")</f>
        <v/>
      </c>
      <c r="AN11" s="39" t="str">
        <f>IFERROR(IF(VLOOKUP($D11,'Raw Data'!$B:$DE,VLOOKUP('Non-SWB CaseList'!AN$6,'Non-SWB Lists'!$A$1:$C$39,3,FALSE),FALSE)=0,"NA",VLOOKUP($D11,'Raw Data'!$B:$DE,VLOOKUP('Non-SWB CaseList'!AN$6,'Non-SWB Lists'!$A$1:$C$39,3,FALSE),FALSE)),"NA")</f>
        <v>NA</v>
      </c>
      <c r="AO11" s="39" t="str">
        <f>IFERROR(IF(VLOOKUP($D11,'Raw Data'!$B:$DE,VLOOKUP('Non-SWB CaseList'!AO$6,'Non-SWB Lists'!$A$1:$C$39,3,FALSE),FALSE)=0,"",VLOOKUP($D11,'Raw Data'!$B:$DE,VLOOKUP('Non-SWB CaseList'!AO$6,'Non-SWB Lists'!$A$1:$C$39,3,FALSE),FALSE)),"")</f>
        <v/>
      </c>
      <c r="AP11" s="39" t="str">
        <f>IFERROR(IF(VLOOKUP($D11,'Raw Data'!$B:$DE,VLOOKUP('Non-SWB CaseList'!AP$6,'Non-SWB Lists'!$A$1:$C$39,3,FALSE),FALSE)=0,"",VLOOKUP($D11,'Raw Data'!$B:$DE,VLOOKUP('Non-SWB CaseList'!AP$6,'Non-SWB Lists'!$A$1:$C$39,3,FALSE),FALSE)),"")</f>
        <v/>
      </c>
      <c r="AQ11" s="39" t="str">
        <f>IFERROR(IF(VLOOKUP($D11,'Raw Data'!$B:$DE,VLOOKUP('Non-SWB CaseList'!AQ$6,'Non-SWB Lists'!$A$1:$C$39,3,FALSE),FALSE)=0,"",VLOOKUP($D11,'Raw Data'!$B:$DE,VLOOKUP('Non-SWB CaseList'!AQ$6,'Non-SWB Lists'!$A$1:$C$39,3,FALSE),FALSE)),"")</f>
        <v/>
      </c>
      <c r="AR11" s="39" t="str">
        <f>IFERROR(IF(VLOOKUP($D11,'Raw Data'!$B:$DE,VLOOKUP('Non-SWB CaseList'!AR$6,'Non-SWB Lists'!$A$1:$C$39,3,FALSE),FALSE)=0,"",VLOOKUP($D11,'Raw Data'!$B:$DE,VLOOKUP('Non-SWB CaseList'!AR$6,'Non-SWB Lists'!$A$1:$C$39,3,FALSE),FALSE)),"")</f>
        <v/>
      </c>
      <c r="AT11" s="8">
        <v>10000001875246</v>
      </c>
    </row>
    <row r="12" spans="1:46" x14ac:dyDescent="0.35">
      <c r="A12" s="46"/>
      <c r="B12" s="3" t="s">
        <v>368</v>
      </c>
      <c r="C12" s="3" t="s">
        <v>45</v>
      </c>
      <c r="D12" s="36">
        <v>12390054</v>
      </c>
      <c r="E12" s="37" t="str">
        <f>IFERROR(IF(VLOOKUP($D12,'Raw Data'!$B:$DE,VLOOKUP('Non-SWB CaseList'!E$6,'Non-SWB Lists'!$A$1:$C$39,3,FALSE),FALSE)=0,"",VLOOKUP($D12,'Raw Data'!$B:$DE,VLOOKUP('Non-SWB CaseList'!E$6,'Non-SWB Lists'!$A$1:$C$39,3,FALSE),FALSE)),"")</f>
        <v/>
      </c>
      <c r="F12" s="3" t="s">
        <v>46</v>
      </c>
      <c r="G12" s="38" t="str">
        <f>IFERROR(IF(VLOOKUP($D12,'Raw Data'!$B:$DE,VLOOKUP('Non-SWB CaseList'!G$6,'Non-SWB Lists'!$A$1:$C$39,3,FALSE),FALSE)=0,"",VLOOKUP($D12,'Raw Data'!$B:$DE,VLOOKUP('Non-SWB CaseList'!G$6,'Non-SWB Lists'!$A$1:$C$39,3,FALSE),FALSE)),"")</f>
        <v/>
      </c>
      <c r="H12" s="38" t="str">
        <f>IFERROR(IF(VLOOKUP($D12,'Raw Data'!$B:$DE,VLOOKUP('Non-SWB CaseList'!H$6,'Non-SWB Lists'!$A$1:$C$39,3,FALSE),FALSE)=0,"",VLOOKUP($D12,'Raw Data'!$B:$DE,VLOOKUP('Non-SWB CaseList'!H$6,'Non-SWB Lists'!$A$1:$C$39,3,FALSE),FALSE)),"")</f>
        <v/>
      </c>
      <c r="I12" s="38" t="str">
        <f>IFERROR(IF(VLOOKUP($D12,'Raw Data'!$B:$DE,VLOOKUP('Non-SWB CaseList'!I$6,'Non-SWB Lists'!$A$1:$C$39,3,FALSE),FALSE)=0,"",VLOOKUP($D12,'Raw Data'!$B:$DE,VLOOKUP('Non-SWB CaseList'!I$6,'Non-SWB Lists'!$A$1:$C$39,3,FALSE),FALSE)),"")</f>
        <v/>
      </c>
      <c r="J12" s="38" t="str">
        <f>IFERROR(IF(VLOOKUP($D12,'Raw Data'!$B:$DE,VLOOKUP('Non-SWB CaseList'!J$6,'Non-SWB Lists'!$A$1:$C$39,3,FALSE),FALSE)=0,"",VLOOKUP($D12,'Raw Data'!$B:$DE,VLOOKUP('Non-SWB CaseList'!J$6,'Non-SWB Lists'!$A$1:$C$39,3,FALSE),FALSE)),"")</f>
        <v/>
      </c>
      <c r="K12" s="38" t="str">
        <f>IFERROR(IF(VLOOKUP($D12,'Raw Data'!$B:$DE,VLOOKUP('Non-SWB CaseList'!K$6,'Non-SWB Lists'!$A$1:$C$39,3,FALSE),FALSE)=0,"",VLOOKUP($D12,'Raw Data'!$B:$DE,VLOOKUP('Non-SWB CaseList'!K$6,'Non-SWB Lists'!$A$1:$C$39,3,FALSE),FALSE)),"")</f>
        <v/>
      </c>
      <c r="L12" s="38" t="str">
        <f>IFERROR(IF(VLOOKUP($D12,'Raw Data'!$B:$DE,VLOOKUP('Non-SWB CaseList'!L$6,'Non-SWB Lists'!$A$1:$C$39,3,FALSE),FALSE)=0,"",VLOOKUP($D12,'Raw Data'!$B:$DE,VLOOKUP('Non-SWB CaseList'!L$6,'Non-SWB Lists'!$A$1:$C$39,3,FALSE),FALSE)),"")</f>
        <v/>
      </c>
      <c r="M12" s="38" t="str">
        <f>IFERROR(IF(VLOOKUP($D12,'Raw Data'!$B:$DE,VLOOKUP('Non-SWB CaseList'!M$6,'Non-SWB Lists'!$A$1:$C$39,3,FALSE),FALSE)=0,"",VLOOKUP($D12,'Raw Data'!$B:$DE,VLOOKUP('Non-SWB CaseList'!M$6,'Non-SWB Lists'!$A$1:$C$39,3,FALSE),FALSE)),"")</f>
        <v/>
      </c>
      <c r="N12" s="38" t="str">
        <f>IFERROR(IF(VLOOKUP($D12,'Raw Data'!$B:$DE,VLOOKUP('Non-SWB CaseList'!N$6,'Non-SWB Lists'!$A$1:$C$39,3,FALSE),FALSE)=0,"",VLOOKUP($D12,'Raw Data'!$B:$DE,VLOOKUP('Non-SWB CaseList'!N$6,'Non-SWB Lists'!$A$1:$C$39,3,FALSE),FALSE)),"")</f>
        <v/>
      </c>
      <c r="O12" s="39" t="str">
        <f>IFERROR(IF(VLOOKUP($D12,'Raw Data'!$B:$DE,VLOOKUP('Non-SWB CaseList'!O$6,'Non-SWB Lists'!$A$1:$C$39,3,FALSE),FALSE)=0,"",VLOOKUP($D12,'Raw Data'!$B:$DE,VLOOKUP('Non-SWB CaseList'!O$6,'Non-SWB Lists'!$A$1:$C$39,3,FALSE),FALSE)),"")</f>
        <v/>
      </c>
      <c r="P12" s="39" t="str">
        <f>IFERROR(IF(VLOOKUP($D12,'Raw Data'!$B:$DE,VLOOKUP('Non-SWB CaseList'!P$6,'Non-SWB Lists'!$A$1:$C$39,3,FALSE),FALSE)=0,"",VLOOKUP($D12,'Raw Data'!$B:$DE,VLOOKUP('Non-SWB CaseList'!P$6,'Non-SWB Lists'!$A$1:$C$39,3,FALSE),FALSE)),"")</f>
        <v/>
      </c>
      <c r="Q12" s="39" t="str">
        <f>IFERROR(IF(VLOOKUP($D12,'Raw Data'!$B:$DE,VLOOKUP('Non-SWB CaseList'!Q$6,'Non-SWB Lists'!$A$1:$C$39,3,FALSE),FALSE)=0,"",VLOOKUP($D12,'Raw Data'!$B:$DE,VLOOKUP('Non-SWB CaseList'!Q$6,'Non-SWB Lists'!$A$1:$C$39,3,FALSE),FALSE)),"")</f>
        <v/>
      </c>
      <c r="R12" s="39" t="str">
        <f>IFERROR(IF(VLOOKUP($D12,'Raw Data'!$B:$DE,VLOOKUP('Non-SWB CaseList'!R$6,'Non-SWB Lists'!$A$1:$C$39,3,FALSE),FALSE)=0,"",VLOOKUP($D12,'Raw Data'!$B:$DE,VLOOKUP('Non-SWB CaseList'!R$6,'Non-SWB Lists'!$A$1:$C$39,3,FALSE),FALSE)),"")</f>
        <v/>
      </c>
      <c r="S12" s="39" t="str">
        <f>IFERROR(IF(VLOOKUP($D12,'Raw Data'!$B:$DE,VLOOKUP('Non-SWB CaseList'!S$6,'Non-SWB Lists'!$A$1:$C$39,3,FALSE),FALSE)=0,"",VLOOKUP($D12,'Raw Data'!$B:$DE,VLOOKUP('Non-SWB CaseList'!S$6,'Non-SWB Lists'!$A$1:$C$39,3,FALSE),FALSE)),"")</f>
        <v/>
      </c>
      <c r="T12" s="39" t="str">
        <f>IFERROR(IF(VLOOKUP($D12,'Raw Data'!$B:$DE,VLOOKUP('Non-SWB CaseList'!T$6,'Non-SWB Lists'!$A$1:$C$39,3,FALSE),FALSE)=0,"",VLOOKUP($D12,'Raw Data'!$B:$DE,VLOOKUP('Non-SWB CaseList'!T$6,'Non-SWB Lists'!$A$1:$C$39,3,FALSE),FALSE)),"")</f>
        <v/>
      </c>
      <c r="U12" s="39" t="str">
        <f>IFERROR(IF(VLOOKUP($D12,'Raw Data'!$B:$DE,VLOOKUP('Non-SWB CaseList'!U$6,'Non-SWB Lists'!$A$1:$C$39,3,FALSE),FALSE)=0,"",VLOOKUP($D12,'Raw Data'!$B:$DE,VLOOKUP('Non-SWB CaseList'!U$6,'Non-SWB Lists'!$A$1:$C$39,3,FALSE),FALSE)),"")</f>
        <v/>
      </c>
      <c r="V12" s="39" t="str">
        <f>IFERROR(IF(VLOOKUP($D12,'Raw Data'!$B:$DE,VLOOKUP('Non-SWB CaseList'!V$6,'Non-SWB Lists'!$A$1:$C$39,3,FALSE),FALSE)=0,"",VLOOKUP($D12,'Raw Data'!$B:$DE,VLOOKUP('Non-SWB CaseList'!V$6,'Non-SWB Lists'!$A$1:$C$39,3,FALSE),FALSE)),"")</f>
        <v/>
      </c>
      <c r="W12" s="39" t="str">
        <f>IFERROR(IF(VLOOKUP($D12,'Raw Data'!$B:$DE,VLOOKUP('Non-SWB CaseList'!W$6,'Non-SWB Lists'!$A$1:$C$39,3,FALSE),FALSE)=0,"",VLOOKUP($D12,'Raw Data'!$B:$DE,VLOOKUP('Non-SWB CaseList'!W$6,'Non-SWB Lists'!$A$1:$C$39,3,FALSE),FALSE)),"")</f>
        <v/>
      </c>
      <c r="X12" s="39" t="str">
        <f>IFERROR(IF(VLOOKUP($D12,'Raw Data'!$B:$DE,VLOOKUP('Non-SWB CaseList'!X$6,'Non-SWB Lists'!$A$1:$C$39,3,FALSE),FALSE)=0,"",VLOOKUP($D12,'Raw Data'!$B:$DE,VLOOKUP('Non-SWB CaseList'!X$6,'Non-SWB Lists'!$A$1:$C$39,3,FALSE),FALSE)),"")</f>
        <v/>
      </c>
      <c r="Y12" s="39" t="str">
        <f>IFERROR(IF(VLOOKUP($D12,'Raw Data'!$B:$DE,VLOOKUP('Non-SWB CaseList'!Y$6,'Non-SWB Lists'!$A$1:$C$39,3,FALSE),FALSE)=0,"",VLOOKUP($D12,'Raw Data'!$B:$DE,VLOOKUP('Non-SWB CaseList'!Y$6,'Non-SWB Lists'!$A$1:$C$39,3,FALSE),FALSE)),"")</f>
        <v/>
      </c>
      <c r="Z12" s="39" t="str">
        <f>IFERROR(IF(VLOOKUP($D12,'Raw Data'!$B:$DE,VLOOKUP('Non-SWB CaseList'!Z$6,'Non-SWB Lists'!$A$1:$C$39,3,FALSE),FALSE)=0,"",VLOOKUP($D12,'Raw Data'!$B:$DE,VLOOKUP('Non-SWB CaseList'!Z$6,'Non-SWB Lists'!$A$1:$C$39,3,FALSE),FALSE)),"")</f>
        <v/>
      </c>
      <c r="AA12" s="39" t="str">
        <f>IFERROR(IF(VLOOKUP($D12,'Raw Data'!$B:$DE,VLOOKUP('Non-SWB CaseList'!AA$6,'Non-SWB Lists'!$A$1:$C$39,3,FALSE),FALSE)=0,"",VLOOKUP($D12,'Raw Data'!$B:$DE,VLOOKUP('Non-SWB CaseList'!AA$6,'Non-SWB Lists'!$A$1:$C$39,3,FALSE),FALSE)),"")</f>
        <v/>
      </c>
      <c r="AB12" s="39" t="str">
        <f>IFERROR(IF(VLOOKUP($D12,'Raw Data'!$B:$DE,VLOOKUP('Non-SWB CaseList'!AB$6,'Non-SWB Lists'!$A$1:$C$39,3,FALSE),FALSE)=0,"",VLOOKUP($D12,'Raw Data'!$B:$DE,VLOOKUP('Non-SWB CaseList'!AB$6,'Non-SWB Lists'!$A$1:$C$39,3,FALSE),FALSE)),"")</f>
        <v/>
      </c>
      <c r="AC12" s="39" t="str">
        <f>IFERROR(IF(VLOOKUP($D12,'Raw Data'!$B:$DE,VLOOKUP('Non-SWB CaseList'!AC$6,'Non-SWB Lists'!$A$1:$C$39,3,FALSE),FALSE)=0,"",VLOOKUP($D12,'Raw Data'!$B:$DE,VLOOKUP('Non-SWB CaseList'!AC$6,'Non-SWB Lists'!$A$1:$C$39,3,FALSE),FALSE)),"")</f>
        <v/>
      </c>
      <c r="AD12" s="39" t="str">
        <f>IFERROR(IF(VLOOKUP($D12,'Raw Data'!$B:$DE,VLOOKUP('Non-SWB CaseList'!AD$6,'Non-SWB Lists'!$A$1:$C$39,3,FALSE),FALSE)=0,"",VLOOKUP($D12,'Raw Data'!$B:$DE,VLOOKUP('Non-SWB CaseList'!AD$6,'Non-SWB Lists'!$A$1:$C$39,3,FALSE),FALSE)),"")</f>
        <v/>
      </c>
      <c r="AE12" s="39" t="str">
        <f>IFERROR(IF(VLOOKUP($D12,'Raw Data'!$B:$DE,VLOOKUP('Non-SWB CaseList'!AE$6,'Non-SWB Lists'!$A$1:$C$39,3,FALSE),FALSE)=0,"",VLOOKUP($D12,'Raw Data'!$B:$DE,VLOOKUP('Non-SWB CaseList'!AE$6,'Non-SWB Lists'!$A$1:$C$39,3,FALSE),FALSE)),"")</f>
        <v/>
      </c>
      <c r="AF12" s="39" t="str">
        <f>IFERROR(IF(VLOOKUP($D12,'Raw Data'!$B:$DE,VLOOKUP('Non-SWB CaseList'!AF$6,'Non-SWB Lists'!$A$1:$C$39,3,FALSE),FALSE)=0,"",VLOOKUP($D12,'Raw Data'!$B:$DE,VLOOKUP('Non-SWB CaseList'!AF$6,'Non-SWB Lists'!$A$1:$C$39,3,FALSE),FALSE)),"")</f>
        <v/>
      </c>
      <c r="AG12" s="39" t="str">
        <f>IFERROR(IF(VLOOKUP($D12,'Raw Data'!$B:$DE,VLOOKUP('Non-SWB CaseList'!AG$6,'Non-SWB Lists'!$A$1:$C$39,3,FALSE),FALSE)=0,"",VLOOKUP($D12,'Raw Data'!$B:$DE,VLOOKUP('Non-SWB CaseList'!AG$6,'Non-SWB Lists'!$A$1:$C$39,3,FALSE),FALSE)),"")</f>
        <v/>
      </c>
      <c r="AH12" s="39" t="str">
        <f>IFERROR(IF(VLOOKUP($D12,'Raw Data'!$B:$DE,VLOOKUP('Non-SWB CaseList'!AH$6,'Non-SWB Lists'!$A$1:$C$39,3,FALSE),FALSE)=0,"",VLOOKUP($D12,'Raw Data'!$B:$DE,VLOOKUP('Non-SWB CaseList'!AH$6,'Non-SWB Lists'!$A$1:$C$39,3,FALSE),FALSE)),"")</f>
        <v/>
      </c>
      <c r="AI12" s="39" t="str">
        <f>IFERROR(IF(VLOOKUP($D12,'Raw Data'!$B:$DE,VLOOKUP('Non-SWB CaseList'!AI$6,'Non-SWB Lists'!$A$1:$C$39,3,FALSE),FALSE)=0,"",VLOOKUP($D12,'Raw Data'!$B:$DE,VLOOKUP('Non-SWB CaseList'!AI$6,'Non-SWB Lists'!$A$1:$C$39,3,FALSE),FALSE)),"")</f>
        <v/>
      </c>
      <c r="AJ12" s="39" t="str">
        <f>IFERROR(IF(VLOOKUP($D12,'Raw Data'!$B:$DE,VLOOKUP('Non-SWB CaseList'!AJ$6,'Non-SWB Lists'!$A$1:$C$39,3,FALSE),FALSE)=0,"",VLOOKUP($D12,'Raw Data'!$B:$DE,VLOOKUP('Non-SWB CaseList'!AJ$6,'Non-SWB Lists'!$A$1:$C$39,3,FALSE),FALSE)),"")</f>
        <v/>
      </c>
      <c r="AK12" s="39" t="str">
        <f>IFERROR(IF(VLOOKUP($D12,'Raw Data'!$B:$DE,VLOOKUP('Non-SWB CaseList'!AK$6,'Non-SWB Lists'!$A$1:$C$39,3,FALSE),FALSE)=0,"",VLOOKUP($D12,'Raw Data'!$B:$DE,VLOOKUP('Non-SWB CaseList'!AK$6,'Non-SWB Lists'!$A$1:$C$39,3,FALSE),FALSE)),"")</f>
        <v/>
      </c>
      <c r="AL12" s="39" t="str">
        <f>IFERROR(IF(VLOOKUP($D12,'Raw Data'!$B:$DE,VLOOKUP('Non-SWB CaseList'!AL$6,'Non-SWB Lists'!$A$1:$C$39,3,FALSE),FALSE)=0,"",VLOOKUP($D12,'Raw Data'!$B:$DE,VLOOKUP('Non-SWB CaseList'!AL$6,'Non-SWB Lists'!$A$1:$C$39,3,FALSE),FALSE)),"")</f>
        <v/>
      </c>
      <c r="AM12" s="39" t="str">
        <f>IFERROR(IF(VLOOKUP($D12,'Raw Data'!$B:$DE,VLOOKUP('Non-SWB CaseList'!AM$6,'Non-SWB Lists'!$A$1:$C$39,3,FALSE),FALSE)=0,"",VLOOKUP($D12,'Raw Data'!$B:$DE,VLOOKUP('Non-SWB CaseList'!AM$6,'Non-SWB Lists'!$A$1:$C$39,3,FALSE),FALSE)),"")</f>
        <v/>
      </c>
      <c r="AN12" s="39" t="str">
        <f>IFERROR(IF(VLOOKUP($D12,'Raw Data'!$B:$DE,VLOOKUP('Non-SWB CaseList'!AN$6,'Non-SWB Lists'!$A$1:$C$39,3,FALSE),FALSE)=0,"NA",VLOOKUP($D12,'Raw Data'!$B:$DE,VLOOKUP('Non-SWB CaseList'!AN$6,'Non-SWB Lists'!$A$1:$C$39,3,FALSE),FALSE)),"NA")</f>
        <v>NA</v>
      </c>
      <c r="AO12" s="39" t="str">
        <f>IFERROR(IF(VLOOKUP($D12,'Raw Data'!$B:$DE,VLOOKUP('Non-SWB CaseList'!AO$6,'Non-SWB Lists'!$A$1:$C$39,3,FALSE),FALSE)=0,"",VLOOKUP($D12,'Raw Data'!$B:$DE,VLOOKUP('Non-SWB CaseList'!AO$6,'Non-SWB Lists'!$A$1:$C$39,3,FALSE),FALSE)),"")</f>
        <v/>
      </c>
      <c r="AP12" s="39" t="str">
        <f>IFERROR(IF(VLOOKUP($D12,'Raw Data'!$B:$DE,VLOOKUP('Non-SWB CaseList'!AP$6,'Non-SWB Lists'!$A$1:$C$39,3,FALSE),FALSE)=0,"",VLOOKUP($D12,'Raw Data'!$B:$DE,VLOOKUP('Non-SWB CaseList'!AP$6,'Non-SWB Lists'!$A$1:$C$39,3,FALSE),FALSE)),"")</f>
        <v/>
      </c>
      <c r="AQ12" s="39" t="str">
        <f>IFERROR(IF(VLOOKUP($D12,'Raw Data'!$B:$DE,VLOOKUP('Non-SWB CaseList'!AQ$6,'Non-SWB Lists'!$A$1:$C$39,3,FALSE),FALSE)=0,"",VLOOKUP($D12,'Raw Data'!$B:$DE,VLOOKUP('Non-SWB CaseList'!AQ$6,'Non-SWB Lists'!$A$1:$C$39,3,FALSE),FALSE)),"")</f>
        <v/>
      </c>
      <c r="AR12" s="39" t="str">
        <f>IFERROR(IF(VLOOKUP($D12,'Raw Data'!$B:$DE,VLOOKUP('Non-SWB CaseList'!AR$6,'Non-SWB Lists'!$A$1:$C$39,3,FALSE),FALSE)=0,"",VLOOKUP($D12,'Raw Data'!$B:$DE,VLOOKUP('Non-SWB CaseList'!AR$6,'Non-SWB Lists'!$A$1:$C$39,3,FALSE),FALSE)),"")</f>
        <v/>
      </c>
      <c r="AT12" s="8">
        <v>10000002968989</v>
      </c>
    </row>
    <row r="13" spans="1:46" x14ac:dyDescent="0.35">
      <c r="A13" s="40"/>
      <c r="B13" s="3" t="s">
        <v>371</v>
      </c>
      <c r="C13" s="3" t="s">
        <v>45</v>
      </c>
      <c r="D13" s="32">
        <v>12392980</v>
      </c>
      <c r="E13" s="33" t="str">
        <f>IFERROR(IF(VLOOKUP($D13,'Raw Data'!$B:$DE,VLOOKUP('Non-SWB CaseList'!E$6,'Non-SWB Lists'!$A$1:$C$39,3,FALSE),FALSE)=0,"",VLOOKUP($D13,'Raw Data'!$B:$DE,VLOOKUP('Non-SWB CaseList'!E$6,'Non-SWB Lists'!$A$1:$C$39,3,FALSE),FALSE)),"")</f>
        <v/>
      </c>
      <c r="F13" s="3" t="s">
        <v>46</v>
      </c>
      <c r="G13" s="2" t="str">
        <f>IFERROR(IF(VLOOKUP($D13,'Raw Data'!$B:$DE,VLOOKUP('Non-SWB CaseList'!G$6,'Non-SWB Lists'!$A$1:$C$39,3,FALSE),FALSE)=0,"",VLOOKUP($D13,'Raw Data'!$B:$DE,VLOOKUP('Non-SWB CaseList'!G$6,'Non-SWB Lists'!$A$1:$C$39,3,FALSE),FALSE)),"")</f>
        <v/>
      </c>
      <c r="H13" s="2" t="str">
        <f>IFERROR(IF(VLOOKUP($D13,'Raw Data'!$B:$DE,VLOOKUP('Non-SWB CaseList'!H$6,'Non-SWB Lists'!$A$1:$C$39,3,FALSE),FALSE)=0,"",VLOOKUP($D13,'Raw Data'!$B:$DE,VLOOKUP('Non-SWB CaseList'!H$6,'Non-SWB Lists'!$A$1:$C$39,3,FALSE),FALSE)),"")</f>
        <v/>
      </c>
      <c r="I13" s="2" t="str">
        <f>IFERROR(IF(VLOOKUP($D13,'Raw Data'!$B:$DE,VLOOKUP('Non-SWB CaseList'!I$6,'Non-SWB Lists'!$A$1:$C$39,3,FALSE),FALSE)=0,"",VLOOKUP($D13,'Raw Data'!$B:$DE,VLOOKUP('Non-SWB CaseList'!I$6,'Non-SWB Lists'!$A$1:$C$39,3,FALSE),FALSE)),"")</f>
        <v/>
      </c>
      <c r="J13" s="2" t="str">
        <f>IFERROR(IF(VLOOKUP($D13,'Raw Data'!$B:$DE,VLOOKUP('Non-SWB CaseList'!J$6,'Non-SWB Lists'!$A$1:$C$39,3,FALSE),FALSE)=0,"",VLOOKUP($D13,'Raw Data'!$B:$DE,VLOOKUP('Non-SWB CaseList'!J$6,'Non-SWB Lists'!$A$1:$C$39,3,FALSE),FALSE)),"")</f>
        <v/>
      </c>
      <c r="K13" s="2" t="str">
        <f>IFERROR(IF(VLOOKUP($D13,'Raw Data'!$B:$DE,VLOOKUP('Non-SWB CaseList'!K$6,'Non-SWB Lists'!$A$1:$C$39,3,FALSE),FALSE)=0,"",VLOOKUP($D13,'Raw Data'!$B:$DE,VLOOKUP('Non-SWB CaseList'!K$6,'Non-SWB Lists'!$A$1:$C$39,3,FALSE),FALSE)),"")</f>
        <v/>
      </c>
      <c r="L13" s="2" t="str">
        <f>IFERROR(IF(VLOOKUP($D13,'Raw Data'!$B:$DE,VLOOKUP('Non-SWB CaseList'!L$6,'Non-SWB Lists'!$A$1:$C$39,3,FALSE),FALSE)=0,"",VLOOKUP($D13,'Raw Data'!$B:$DE,VLOOKUP('Non-SWB CaseList'!L$6,'Non-SWB Lists'!$A$1:$C$39,3,FALSE),FALSE)),"")</f>
        <v/>
      </c>
      <c r="M13" s="2" t="str">
        <f>IFERROR(IF(VLOOKUP($D13,'Raw Data'!$B:$DE,VLOOKUP('Non-SWB CaseList'!M$6,'Non-SWB Lists'!$A$1:$C$39,3,FALSE),FALSE)=0,"",VLOOKUP($D13,'Raw Data'!$B:$DE,VLOOKUP('Non-SWB CaseList'!M$6,'Non-SWB Lists'!$A$1:$C$39,3,FALSE),FALSE)),"")</f>
        <v/>
      </c>
      <c r="N13" s="2" t="str">
        <f>IFERROR(IF(VLOOKUP($D13,'Raw Data'!$B:$DE,VLOOKUP('Non-SWB CaseList'!N$6,'Non-SWB Lists'!$A$1:$C$39,3,FALSE),FALSE)=0,"",VLOOKUP($D13,'Raw Data'!$B:$DE,VLOOKUP('Non-SWB CaseList'!N$6,'Non-SWB Lists'!$A$1:$C$39,3,FALSE),FALSE)),"")</f>
        <v/>
      </c>
      <c r="O13" s="9" t="str">
        <f>IFERROR(IF(VLOOKUP($D13,'Raw Data'!$B:$DE,VLOOKUP('Non-SWB CaseList'!O$6,'Non-SWB Lists'!$A$1:$C$39,3,FALSE),FALSE)=0,"",VLOOKUP($D13,'Raw Data'!$B:$DE,VLOOKUP('Non-SWB CaseList'!O$6,'Non-SWB Lists'!$A$1:$C$39,3,FALSE),FALSE)),"")</f>
        <v/>
      </c>
      <c r="P13" s="9" t="str">
        <f>IFERROR(IF(VLOOKUP($D13,'Raw Data'!$B:$DE,VLOOKUP('Non-SWB CaseList'!P$6,'Non-SWB Lists'!$A$1:$C$39,3,FALSE),FALSE)=0,"",VLOOKUP($D13,'Raw Data'!$B:$DE,VLOOKUP('Non-SWB CaseList'!P$6,'Non-SWB Lists'!$A$1:$C$39,3,FALSE),FALSE)),"")</f>
        <v/>
      </c>
      <c r="Q13" s="9" t="str">
        <f>IFERROR(IF(VLOOKUP($D13,'Raw Data'!$B:$DE,VLOOKUP('Non-SWB CaseList'!Q$6,'Non-SWB Lists'!$A$1:$C$39,3,FALSE),FALSE)=0,"",VLOOKUP($D13,'Raw Data'!$B:$DE,VLOOKUP('Non-SWB CaseList'!Q$6,'Non-SWB Lists'!$A$1:$C$39,3,FALSE),FALSE)),"")</f>
        <v/>
      </c>
      <c r="R13" s="9" t="str">
        <f>IFERROR(IF(VLOOKUP($D13,'Raw Data'!$B:$DE,VLOOKUP('Non-SWB CaseList'!R$6,'Non-SWB Lists'!$A$1:$C$39,3,FALSE),FALSE)=0,"",VLOOKUP($D13,'Raw Data'!$B:$DE,VLOOKUP('Non-SWB CaseList'!R$6,'Non-SWB Lists'!$A$1:$C$39,3,FALSE),FALSE)),"")</f>
        <v/>
      </c>
      <c r="S13" s="9" t="str">
        <f>IFERROR(IF(VLOOKUP($D13,'Raw Data'!$B:$DE,VLOOKUP('Non-SWB CaseList'!S$6,'Non-SWB Lists'!$A$1:$C$39,3,FALSE),FALSE)=0,"",VLOOKUP($D13,'Raw Data'!$B:$DE,VLOOKUP('Non-SWB CaseList'!S$6,'Non-SWB Lists'!$A$1:$C$39,3,FALSE),FALSE)),"")</f>
        <v/>
      </c>
      <c r="T13" s="9" t="str">
        <f>IFERROR(IF(VLOOKUP($D13,'Raw Data'!$B:$DE,VLOOKUP('Non-SWB CaseList'!T$6,'Non-SWB Lists'!$A$1:$C$39,3,FALSE),FALSE)=0,"",VLOOKUP($D13,'Raw Data'!$B:$DE,VLOOKUP('Non-SWB CaseList'!T$6,'Non-SWB Lists'!$A$1:$C$39,3,FALSE),FALSE)),"")</f>
        <v/>
      </c>
      <c r="U13" s="9" t="str">
        <f>IFERROR(IF(VLOOKUP($D13,'Raw Data'!$B:$DE,VLOOKUP('Non-SWB CaseList'!U$6,'Non-SWB Lists'!$A$1:$C$39,3,FALSE),FALSE)=0,"",VLOOKUP($D13,'Raw Data'!$B:$DE,VLOOKUP('Non-SWB CaseList'!U$6,'Non-SWB Lists'!$A$1:$C$39,3,FALSE),FALSE)),"")</f>
        <v/>
      </c>
      <c r="V13" s="9" t="str">
        <f>IFERROR(IF(VLOOKUP($D13,'Raw Data'!$B:$DE,VLOOKUP('Non-SWB CaseList'!V$6,'Non-SWB Lists'!$A$1:$C$39,3,FALSE),FALSE)=0,"",VLOOKUP($D13,'Raw Data'!$B:$DE,VLOOKUP('Non-SWB CaseList'!V$6,'Non-SWB Lists'!$A$1:$C$39,3,FALSE),FALSE)),"")</f>
        <v/>
      </c>
      <c r="W13" s="9" t="str">
        <f>IFERROR(IF(VLOOKUP($D13,'Raw Data'!$B:$DE,VLOOKUP('Non-SWB CaseList'!W$6,'Non-SWB Lists'!$A$1:$C$39,3,FALSE),FALSE)=0,"",VLOOKUP($D13,'Raw Data'!$B:$DE,VLOOKUP('Non-SWB CaseList'!W$6,'Non-SWB Lists'!$A$1:$C$39,3,FALSE),FALSE)),"")</f>
        <v/>
      </c>
      <c r="X13" s="9" t="str">
        <f>IFERROR(IF(VLOOKUP($D13,'Raw Data'!$B:$DE,VLOOKUP('Non-SWB CaseList'!X$6,'Non-SWB Lists'!$A$1:$C$39,3,FALSE),FALSE)=0,"",VLOOKUP($D13,'Raw Data'!$B:$DE,VLOOKUP('Non-SWB CaseList'!X$6,'Non-SWB Lists'!$A$1:$C$39,3,FALSE),FALSE)),"")</f>
        <v/>
      </c>
      <c r="Y13" s="9" t="str">
        <f>IFERROR(IF(VLOOKUP($D13,'Raw Data'!$B:$DE,VLOOKUP('Non-SWB CaseList'!Y$6,'Non-SWB Lists'!$A$1:$C$39,3,FALSE),FALSE)=0,"",VLOOKUP($D13,'Raw Data'!$B:$DE,VLOOKUP('Non-SWB CaseList'!Y$6,'Non-SWB Lists'!$A$1:$C$39,3,FALSE),FALSE)),"")</f>
        <v/>
      </c>
      <c r="Z13" s="9" t="str">
        <f>IFERROR(IF(VLOOKUP($D13,'Raw Data'!$B:$DE,VLOOKUP('Non-SWB CaseList'!Z$6,'Non-SWB Lists'!$A$1:$C$39,3,FALSE),FALSE)=0,"",VLOOKUP($D13,'Raw Data'!$B:$DE,VLOOKUP('Non-SWB CaseList'!Z$6,'Non-SWB Lists'!$A$1:$C$39,3,FALSE),FALSE)),"")</f>
        <v/>
      </c>
      <c r="AA13" s="9" t="str">
        <f>IFERROR(IF(VLOOKUP($D13,'Raw Data'!$B:$DE,VLOOKUP('Non-SWB CaseList'!AA$6,'Non-SWB Lists'!$A$1:$C$39,3,FALSE),FALSE)=0,"",VLOOKUP($D13,'Raw Data'!$B:$DE,VLOOKUP('Non-SWB CaseList'!AA$6,'Non-SWB Lists'!$A$1:$C$39,3,FALSE),FALSE)),"")</f>
        <v/>
      </c>
      <c r="AB13" s="9" t="str">
        <f>IFERROR(IF(VLOOKUP($D13,'Raw Data'!$B:$DE,VLOOKUP('Non-SWB CaseList'!AB$6,'Non-SWB Lists'!$A$1:$C$39,3,FALSE),FALSE)=0,"",VLOOKUP($D13,'Raw Data'!$B:$DE,VLOOKUP('Non-SWB CaseList'!AB$6,'Non-SWB Lists'!$A$1:$C$39,3,FALSE),FALSE)),"")</f>
        <v/>
      </c>
      <c r="AC13" s="9" t="str">
        <f>IFERROR(IF(VLOOKUP($D13,'Raw Data'!$B:$DE,VLOOKUP('Non-SWB CaseList'!AC$6,'Non-SWB Lists'!$A$1:$C$39,3,FALSE),FALSE)=0,"",VLOOKUP($D13,'Raw Data'!$B:$DE,VLOOKUP('Non-SWB CaseList'!AC$6,'Non-SWB Lists'!$A$1:$C$39,3,FALSE),FALSE)),"")</f>
        <v/>
      </c>
      <c r="AD13" s="9" t="str">
        <f>IFERROR(IF(VLOOKUP($D13,'Raw Data'!$B:$DE,VLOOKUP('Non-SWB CaseList'!AD$6,'Non-SWB Lists'!$A$1:$C$39,3,FALSE),FALSE)=0,"",VLOOKUP($D13,'Raw Data'!$B:$DE,VLOOKUP('Non-SWB CaseList'!AD$6,'Non-SWB Lists'!$A$1:$C$39,3,FALSE),FALSE)),"")</f>
        <v/>
      </c>
      <c r="AE13" s="9" t="str">
        <f>IFERROR(IF(VLOOKUP($D13,'Raw Data'!$B:$DE,VLOOKUP('Non-SWB CaseList'!AE$6,'Non-SWB Lists'!$A$1:$C$39,3,FALSE),FALSE)=0,"",VLOOKUP($D13,'Raw Data'!$B:$DE,VLOOKUP('Non-SWB CaseList'!AE$6,'Non-SWB Lists'!$A$1:$C$39,3,FALSE),FALSE)),"")</f>
        <v/>
      </c>
      <c r="AF13" s="9" t="str">
        <f>IFERROR(IF(VLOOKUP($D13,'Raw Data'!$B:$DE,VLOOKUP('Non-SWB CaseList'!AF$6,'Non-SWB Lists'!$A$1:$C$39,3,FALSE),FALSE)=0,"",VLOOKUP($D13,'Raw Data'!$B:$DE,VLOOKUP('Non-SWB CaseList'!AF$6,'Non-SWB Lists'!$A$1:$C$39,3,FALSE),FALSE)),"")</f>
        <v/>
      </c>
      <c r="AG13" s="9" t="str">
        <f>IFERROR(IF(VLOOKUP($D13,'Raw Data'!$B:$DE,VLOOKUP('Non-SWB CaseList'!AG$6,'Non-SWB Lists'!$A$1:$C$39,3,FALSE),FALSE)=0,"",VLOOKUP($D13,'Raw Data'!$B:$DE,VLOOKUP('Non-SWB CaseList'!AG$6,'Non-SWB Lists'!$A$1:$C$39,3,FALSE),FALSE)),"")</f>
        <v/>
      </c>
      <c r="AH13" s="9" t="str">
        <f>IFERROR(IF(VLOOKUP($D13,'Raw Data'!$B:$DE,VLOOKUP('Non-SWB CaseList'!AH$6,'Non-SWB Lists'!$A$1:$C$39,3,FALSE),FALSE)=0,"",VLOOKUP($D13,'Raw Data'!$B:$DE,VLOOKUP('Non-SWB CaseList'!AH$6,'Non-SWB Lists'!$A$1:$C$39,3,FALSE),FALSE)),"")</f>
        <v/>
      </c>
      <c r="AI13" s="9" t="str">
        <f>IFERROR(IF(VLOOKUP($D13,'Raw Data'!$B:$DE,VLOOKUP('Non-SWB CaseList'!AI$6,'Non-SWB Lists'!$A$1:$C$39,3,FALSE),FALSE)=0,"",VLOOKUP($D13,'Raw Data'!$B:$DE,VLOOKUP('Non-SWB CaseList'!AI$6,'Non-SWB Lists'!$A$1:$C$39,3,FALSE),FALSE)),"")</f>
        <v/>
      </c>
      <c r="AJ13" s="9" t="str">
        <f>IFERROR(IF(VLOOKUP($D13,'Raw Data'!$B:$DE,VLOOKUP('Non-SWB CaseList'!AJ$6,'Non-SWB Lists'!$A$1:$C$39,3,FALSE),FALSE)=0,"",VLOOKUP($D13,'Raw Data'!$B:$DE,VLOOKUP('Non-SWB CaseList'!AJ$6,'Non-SWB Lists'!$A$1:$C$39,3,FALSE),FALSE)),"")</f>
        <v/>
      </c>
      <c r="AK13" s="9" t="str">
        <f>IFERROR(IF(VLOOKUP($D13,'Raw Data'!$B:$DE,VLOOKUP('Non-SWB CaseList'!AK$6,'Non-SWB Lists'!$A$1:$C$39,3,FALSE),FALSE)=0,"",VLOOKUP($D13,'Raw Data'!$B:$DE,VLOOKUP('Non-SWB CaseList'!AK$6,'Non-SWB Lists'!$A$1:$C$39,3,FALSE),FALSE)),"")</f>
        <v/>
      </c>
      <c r="AL13" s="9" t="str">
        <f>IFERROR(IF(VLOOKUP($D13,'Raw Data'!$B:$DE,VLOOKUP('Non-SWB CaseList'!AL$6,'Non-SWB Lists'!$A$1:$C$39,3,FALSE),FALSE)=0,"",VLOOKUP($D13,'Raw Data'!$B:$DE,VLOOKUP('Non-SWB CaseList'!AL$6,'Non-SWB Lists'!$A$1:$C$39,3,FALSE),FALSE)),"")</f>
        <v/>
      </c>
      <c r="AM13" s="9" t="str">
        <f>IFERROR(IF(VLOOKUP($D13,'Raw Data'!$B:$DE,VLOOKUP('Non-SWB CaseList'!AM$6,'Non-SWB Lists'!$A$1:$C$39,3,FALSE),FALSE)=0,"",VLOOKUP($D13,'Raw Data'!$B:$DE,VLOOKUP('Non-SWB CaseList'!AM$6,'Non-SWB Lists'!$A$1:$C$39,3,FALSE),FALSE)),"")</f>
        <v/>
      </c>
      <c r="AN13" s="9" t="str">
        <f>IFERROR(IF(VLOOKUP($D13,'Raw Data'!$B:$DE,VLOOKUP('Non-SWB CaseList'!AN$6,'Non-SWB Lists'!$A$1:$C$39,3,FALSE),FALSE)=0,"NA",VLOOKUP($D13,'Raw Data'!$B:$DE,VLOOKUP('Non-SWB CaseList'!AN$6,'Non-SWB Lists'!$A$1:$C$39,3,FALSE),FALSE)),"NA")</f>
        <v>NA</v>
      </c>
      <c r="AO13" s="9" t="str">
        <f>IFERROR(IF(VLOOKUP($D13,'Raw Data'!$B:$DE,VLOOKUP('Non-SWB CaseList'!AO$6,'Non-SWB Lists'!$A$1:$C$39,3,FALSE),FALSE)=0,"",VLOOKUP($D13,'Raw Data'!$B:$DE,VLOOKUP('Non-SWB CaseList'!AO$6,'Non-SWB Lists'!$A$1:$C$39,3,FALSE),FALSE)),"")</f>
        <v/>
      </c>
      <c r="AP13" s="9" t="str">
        <f>IFERROR(IF(VLOOKUP($D13,'Raw Data'!$B:$DE,VLOOKUP('Non-SWB CaseList'!AP$6,'Non-SWB Lists'!$A$1:$C$39,3,FALSE),FALSE)=0,"",VLOOKUP($D13,'Raw Data'!$B:$DE,VLOOKUP('Non-SWB CaseList'!AP$6,'Non-SWB Lists'!$A$1:$C$39,3,FALSE),FALSE)),"")</f>
        <v/>
      </c>
      <c r="AQ13" s="9" t="str">
        <f>IFERROR(IF(VLOOKUP($D13,'Raw Data'!$B:$DE,VLOOKUP('Non-SWB CaseList'!AQ$6,'Non-SWB Lists'!$A$1:$C$39,3,FALSE),FALSE)=0,"",VLOOKUP($D13,'Raw Data'!$B:$DE,VLOOKUP('Non-SWB CaseList'!AQ$6,'Non-SWB Lists'!$A$1:$C$39,3,FALSE),FALSE)),"")</f>
        <v/>
      </c>
      <c r="AR13" s="9" t="str">
        <f>IFERROR(IF(VLOOKUP($D13,'Raw Data'!$B:$DE,VLOOKUP('Non-SWB CaseList'!AR$6,'Non-SWB Lists'!$A$1:$C$39,3,FALSE),FALSE)=0,"",VLOOKUP($D13,'Raw Data'!$B:$DE,VLOOKUP('Non-SWB CaseList'!AR$6,'Non-SWB Lists'!$A$1:$C$39,3,FALSE),FALSE)),"")</f>
        <v/>
      </c>
    </row>
    <row r="14" spans="1:46" x14ac:dyDescent="0.35">
      <c r="A14" s="40"/>
      <c r="B14" s="3" t="s">
        <v>372</v>
      </c>
      <c r="C14" s="3" t="s">
        <v>45</v>
      </c>
      <c r="D14" s="32">
        <v>12392978</v>
      </c>
      <c r="E14" s="33" t="str">
        <f>IFERROR(IF(VLOOKUP($D14,'Raw Data'!$B:$DE,VLOOKUP('Non-SWB CaseList'!E$6,'Non-SWB Lists'!$A$1:$C$39,3,FALSE),FALSE)=0,"",VLOOKUP($D14,'Raw Data'!$B:$DE,VLOOKUP('Non-SWB CaseList'!E$6,'Non-SWB Lists'!$A$1:$C$39,3,FALSE),FALSE)),"")</f>
        <v/>
      </c>
      <c r="F14" s="3" t="s">
        <v>46</v>
      </c>
      <c r="G14" s="2" t="str">
        <f>IFERROR(IF(VLOOKUP($D14,'Raw Data'!$B:$DE,VLOOKUP('Non-SWB CaseList'!G$6,'Non-SWB Lists'!$A$1:$C$39,3,FALSE),FALSE)=0,"",VLOOKUP($D14,'Raw Data'!$B:$DE,VLOOKUP('Non-SWB CaseList'!G$6,'Non-SWB Lists'!$A$1:$C$39,3,FALSE),FALSE)),"")</f>
        <v/>
      </c>
      <c r="H14" s="2" t="str">
        <f>IFERROR(IF(VLOOKUP($D14,'Raw Data'!$B:$DE,VLOOKUP('Non-SWB CaseList'!H$6,'Non-SWB Lists'!$A$1:$C$39,3,FALSE),FALSE)=0,"",VLOOKUP($D14,'Raw Data'!$B:$DE,VLOOKUP('Non-SWB CaseList'!H$6,'Non-SWB Lists'!$A$1:$C$39,3,FALSE),FALSE)),"")</f>
        <v/>
      </c>
      <c r="I14" s="2" t="str">
        <f>IFERROR(IF(VLOOKUP($D14,'Raw Data'!$B:$DE,VLOOKUP('Non-SWB CaseList'!I$6,'Non-SWB Lists'!$A$1:$C$39,3,FALSE),FALSE)=0,"",VLOOKUP($D14,'Raw Data'!$B:$DE,VLOOKUP('Non-SWB CaseList'!I$6,'Non-SWB Lists'!$A$1:$C$39,3,FALSE),FALSE)),"")</f>
        <v/>
      </c>
      <c r="J14" s="2" t="str">
        <f>IFERROR(IF(VLOOKUP($D14,'Raw Data'!$B:$DE,VLOOKUP('Non-SWB CaseList'!J$6,'Non-SWB Lists'!$A$1:$C$39,3,FALSE),FALSE)=0,"",VLOOKUP($D14,'Raw Data'!$B:$DE,VLOOKUP('Non-SWB CaseList'!J$6,'Non-SWB Lists'!$A$1:$C$39,3,FALSE),FALSE)),"")</f>
        <v/>
      </c>
      <c r="K14" s="2" t="str">
        <f>IFERROR(IF(VLOOKUP($D14,'Raw Data'!$B:$DE,VLOOKUP('Non-SWB CaseList'!K$6,'Non-SWB Lists'!$A$1:$C$39,3,FALSE),FALSE)=0,"",VLOOKUP($D14,'Raw Data'!$B:$DE,VLOOKUP('Non-SWB CaseList'!K$6,'Non-SWB Lists'!$A$1:$C$39,3,FALSE),FALSE)),"")</f>
        <v/>
      </c>
      <c r="L14" s="2" t="str">
        <f>IFERROR(IF(VLOOKUP($D14,'Raw Data'!$B:$DE,VLOOKUP('Non-SWB CaseList'!L$6,'Non-SWB Lists'!$A$1:$C$39,3,FALSE),FALSE)=0,"",VLOOKUP($D14,'Raw Data'!$B:$DE,VLOOKUP('Non-SWB CaseList'!L$6,'Non-SWB Lists'!$A$1:$C$39,3,FALSE),FALSE)),"")</f>
        <v/>
      </c>
      <c r="M14" s="2" t="str">
        <f>IFERROR(IF(VLOOKUP($D14,'Raw Data'!$B:$DE,VLOOKUP('Non-SWB CaseList'!M$6,'Non-SWB Lists'!$A$1:$C$39,3,FALSE),FALSE)=0,"",VLOOKUP($D14,'Raw Data'!$B:$DE,VLOOKUP('Non-SWB CaseList'!M$6,'Non-SWB Lists'!$A$1:$C$39,3,FALSE),FALSE)),"")</f>
        <v/>
      </c>
      <c r="N14" s="2" t="str">
        <f>IFERROR(IF(VLOOKUP($D14,'Raw Data'!$B:$DE,VLOOKUP('Non-SWB CaseList'!N$6,'Non-SWB Lists'!$A$1:$C$39,3,FALSE),FALSE)=0,"",VLOOKUP($D14,'Raw Data'!$B:$DE,VLOOKUP('Non-SWB CaseList'!N$6,'Non-SWB Lists'!$A$1:$C$39,3,FALSE),FALSE)),"")</f>
        <v/>
      </c>
      <c r="O14" s="9" t="str">
        <f>IFERROR(IF(VLOOKUP($D14,'Raw Data'!$B:$DE,VLOOKUP('Non-SWB CaseList'!O$6,'Non-SWB Lists'!$A$1:$C$39,3,FALSE),FALSE)=0,"",VLOOKUP($D14,'Raw Data'!$B:$DE,VLOOKUP('Non-SWB CaseList'!O$6,'Non-SWB Lists'!$A$1:$C$39,3,FALSE),FALSE)),"")</f>
        <v/>
      </c>
      <c r="P14" s="9" t="str">
        <f>IFERROR(IF(VLOOKUP($D14,'Raw Data'!$B:$DE,VLOOKUP('Non-SWB CaseList'!P$6,'Non-SWB Lists'!$A$1:$C$39,3,FALSE),FALSE)=0,"",VLOOKUP($D14,'Raw Data'!$B:$DE,VLOOKUP('Non-SWB CaseList'!P$6,'Non-SWB Lists'!$A$1:$C$39,3,FALSE),FALSE)),"")</f>
        <v/>
      </c>
      <c r="Q14" s="9" t="str">
        <f>IFERROR(IF(VLOOKUP($D14,'Raw Data'!$B:$DE,VLOOKUP('Non-SWB CaseList'!Q$6,'Non-SWB Lists'!$A$1:$C$39,3,FALSE),FALSE)=0,"",VLOOKUP($D14,'Raw Data'!$B:$DE,VLOOKUP('Non-SWB CaseList'!Q$6,'Non-SWB Lists'!$A$1:$C$39,3,FALSE),FALSE)),"")</f>
        <v/>
      </c>
      <c r="R14" s="9" t="str">
        <f>IFERROR(IF(VLOOKUP($D14,'Raw Data'!$B:$DE,VLOOKUP('Non-SWB CaseList'!R$6,'Non-SWB Lists'!$A$1:$C$39,3,FALSE),FALSE)=0,"",VLOOKUP($D14,'Raw Data'!$B:$DE,VLOOKUP('Non-SWB CaseList'!R$6,'Non-SWB Lists'!$A$1:$C$39,3,FALSE),FALSE)),"")</f>
        <v/>
      </c>
      <c r="S14" s="9" t="str">
        <f>IFERROR(IF(VLOOKUP($D14,'Raw Data'!$B:$DE,VLOOKUP('Non-SWB CaseList'!S$6,'Non-SWB Lists'!$A$1:$C$39,3,FALSE),FALSE)=0,"",VLOOKUP($D14,'Raw Data'!$B:$DE,VLOOKUP('Non-SWB CaseList'!S$6,'Non-SWB Lists'!$A$1:$C$39,3,FALSE),FALSE)),"")</f>
        <v/>
      </c>
      <c r="T14" s="9" t="str">
        <f>IFERROR(IF(VLOOKUP($D14,'Raw Data'!$B:$DE,VLOOKUP('Non-SWB CaseList'!T$6,'Non-SWB Lists'!$A$1:$C$39,3,FALSE),FALSE)=0,"",VLOOKUP($D14,'Raw Data'!$B:$DE,VLOOKUP('Non-SWB CaseList'!T$6,'Non-SWB Lists'!$A$1:$C$39,3,FALSE),FALSE)),"")</f>
        <v/>
      </c>
      <c r="U14" s="9" t="str">
        <f>IFERROR(IF(VLOOKUP($D14,'Raw Data'!$B:$DE,VLOOKUP('Non-SWB CaseList'!U$6,'Non-SWB Lists'!$A$1:$C$39,3,FALSE),FALSE)=0,"",VLOOKUP($D14,'Raw Data'!$B:$DE,VLOOKUP('Non-SWB CaseList'!U$6,'Non-SWB Lists'!$A$1:$C$39,3,FALSE),FALSE)),"")</f>
        <v/>
      </c>
      <c r="V14" s="9" t="str">
        <f>IFERROR(IF(VLOOKUP($D14,'Raw Data'!$B:$DE,VLOOKUP('Non-SWB CaseList'!V$6,'Non-SWB Lists'!$A$1:$C$39,3,FALSE),FALSE)=0,"",VLOOKUP($D14,'Raw Data'!$B:$DE,VLOOKUP('Non-SWB CaseList'!V$6,'Non-SWB Lists'!$A$1:$C$39,3,FALSE),FALSE)),"")</f>
        <v/>
      </c>
      <c r="W14" s="9" t="str">
        <f>IFERROR(IF(VLOOKUP($D14,'Raw Data'!$B:$DE,VLOOKUP('Non-SWB CaseList'!W$6,'Non-SWB Lists'!$A$1:$C$39,3,FALSE),FALSE)=0,"",VLOOKUP($D14,'Raw Data'!$B:$DE,VLOOKUP('Non-SWB CaseList'!W$6,'Non-SWB Lists'!$A$1:$C$39,3,FALSE),FALSE)),"")</f>
        <v/>
      </c>
      <c r="X14" s="9" t="str">
        <f>IFERROR(IF(VLOOKUP($D14,'Raw Data'!$B:$DE,VLOOKUP('Non-SWB CaseList'!X$6,'Non-SWB Lists'!$A$1:$C$39,3,FALSE),FALSE)=0,"",VLOOKUP($D14,'Raw Data'!$B:$DE,VLOOKUP('Non-SWB CaseList'!X$6,'Non-SWB Lists'!$A$1:$C$39,3,FALSE),FALSE)),"")</f>
        <v/>
      </c>
      <c r="Y14" s="9" t="str">
        <f>IFERROR(IF(VLOOKUP($D14,'Raw Data'!$B:$DE,VLOOKUP('Non-SWB CaseList'!Y$6,'Non-SWB Lists'!$A$1:$C$39,3,FALSE),FALSE)=0,"",VLOOKUP($D14,'Raw Data'!$B:$DE,VLOOKUP('Non-SWB CaseList'!Y$6,'Non-SWB Lists'!$A$1:$C$39,3,FALSE),FALSE)),"")</f>
        <v/>
      </c>
      <c r="Z14" s="9" t="str">
        <f>IFERROR(IF(VLOOKUP($D14,'Raw Data'!$B:$DE,VLOOKUP('Non-SWB CaseList'!Z$6,'Non-SWB Lists'!$A$1:$C$39,3,FALSE),FALSE)=0,"",VLOOKUP($D14,'Raw Data'!$B:$DE,VLOOKUP('Non-SWB CaseList'!Z$6,'Non-SWB Lists'!$A$1:$C$39,3,FALSE),FALSE)),"")</f>
        <v/>
      </c>
      <c r="AA14" s="9" t="str">
        <f>IFERROR(IF(VLOOKUP($D14,'Raw Data'!$B:$DE,VLOOKUP('Non-SWB CaseList'!AA$6,'Non-SWB Lists'!$A$1:$C$39,3,FALSE),FALSE)=0,"",VLOOKUP($D14,'Raw Data'!$B:$DE,VLOOKUP('Non-SWB CaseList'!AA$6,'Non-SWB Lists'!$A$1:$C$39,3,FALSE),FALSE)),"")</f>
        <v/>
      </c>
      <c r="AB14" s="9" t="str">
        <f>IFERROR(IF(VLOOKUP($D14,'Raw Data'!$B:$DE,VLOOKUP('Non-SWB CaseList'!AB$6,'Non-SWB Lists'!$A$1:$C$39,3,FALSE),FALSE)=0,"",VLOOKUP($D14,'Raw Data'!$B:$DE,VLOOKUP('Non-SWB CaseList'!AB$6,'Non-SWB Lists'!$A$1:$C$39,3,FALSE),FALSE)),"")</f>
        <v/>
      </c>
      <c r="AC14" s="9" t="str">
        <f>IFERROR(IF(VLOOKUP($D14,'Raw Data'!$B:$DE,VLOOKUP('Non-SWB CaseList'!AC$6,'Non-SWB Lists'!$A$1:$C$39,3,FALSE),FALSE)=0,"",VLOOKUP($D14,'Raw Data'!$B:$DE,VLOOKUP('Non-SWB CaseList'!AC$6,'Non-SWB Lists'!$A$1:$C$39,3,FALSE),FALSE)),"")</f>
        <v/>
      </c>
      <c r="AD14" s="9" t="str">
        <f>IFERROR(IF(VLOOKUP($D14,'Raw Data'!$B:$DE,VLOOKUP('Non-SWB CaseList'!AD$6,'Non-SWB Lists'!$A$1:$C$39,3,FALSE),FALSE)=0,"",VLOOKUP($D14,'Raw Data'!$B:$DE,VLOOKUP('Non-SWB CaseList'!AD$6,'Non-SWB Lists'!$A$1:$C$39,3,FALSE),FALSE)),"")</f>
        <v/>
      </c>
      <c r="AE14" s="9" t="str">
        <f>IFERROR(IF(VLOOKUP($D14,'Raw Data'!$B:$DE,VLOOKUP('Non-SWB CaseList'!AE$6,'Non-SWB Lists'!$A$1:$C$39,3,FALSE),FALSE)=0,"",VLOOKUP($D14,'Raw Data'!$B:$DE,VLOOKUP('Non-SWB CaseList'!AE$6,'Non-SWB Lists'!$A$1:$C$39,3,FALSE),FALSE)),"")</f>
        <v/>
      </c>
      <c r="AF14" s="9" t="str">
        <f>IFERROR(IF(VLOOKUP($D14,'Raw Data'!$B:$DE,VLOOKUP('Non-SWB CaseList'!AF$6,'Non-SWB Lists'!$A$1:$C$39,3,FALSE),FALSE)=0,"",VLOOKUP($D14,'Raw Data'!$B:$DE,VLOOKUP('Non-SWB CaseList'!AF$6,'Non-SWB Lists'!$A$1:$C$39,3,FALSE),FALSE)),"")</f>
        <v/>
      </c>
      <c r="AG14" s="9" t="str">
        <f>IFERROR(IF(VLOOKUP($D14,'Raw Data'!$B:$DE,VLOOKUP('Non-SWB CaseList'!AG$6,'Non-SWB Lists'!$A$1:$C$39,3,FALSE),FALSE)=0,"",VLOOKUP($D14,'Raw Data'!$B:$DE,VLOOKUP('Non-SWB CaseList'!AG$6,'Non-SWB Lists'!$A$1:$C$39,3,FALSE),FALSE)),"")</f>
        <v/>
      </c>
      <c r="AH14" s="9" t="str">
        <f>IFERROR(IF(VLOOKUP($D14,'Raw Data'!$B:$DE,VLOOKUP('Non-SWB CaseList'!AH$6,'Non-SWB Lists'!$A$1:$C$39,3,FALSE),FALSE)=0,"",VLOOKUP($D14,'Raw Data'!$B:$DE,VLOOKUP('Non-SWB CaseList'!AH$6,'Non-SWB Lists'!$A$1:$C$39,3,FALSE),FALSE)),"")</f>
        <v/>
      </c>
      <c r="AI14" s="9" t="str">
        <f>IFERROR(IF(VLOOKUP($D14,'Raw Data'!$B:$DE,VLOOKUP('Non-SWB CaseList'!AI$6,'Non-SWB Lists'!$A$1:$C$39,3,FALSE),FALSE)=0,"",VLOOKUP($D14,'Raw Data'!$B:$DE,VLOOKUP('Non-SWB CaseList'!AI$6,'Non-SWB Lists'!$A$1:$C$39,3,FALSE),FALSE)),"")</f>
        <v/>
      </c>
      <c r="AJ14" s="9" t="str">
        <f>IFERROR(IF(VLOOKUP($D14,'Raw Data'!$B:$DE,VLOOKUP('Non-SWB CaseList'!AJ$6,'Non-SWB Lists'!$A$1:$C$39,3,FALSE),FALSE)=0,"",VLOOKUP($D14,'Raw Data'!$B:$DE,VLOOKUP('Non-SWB CaseList'!AJ$6,'Non-SWB Lists'!$A$1:$C$39,3,FALSE),FALSE)),"")</f>
        <v/>
      </c>
      <c r="AK14" s="9" t="str">
        <f>IFERROR(IF(VLOOKUP($D14,'Raw Data'!$B:$DE,VLOOKUP('Non-SWB CaseList'!AK$6,'Non-SWB Lists'!$A$1:$C$39,3,FALSE),FALSE)=0,"",VLOOKUP($D14,'Raw Data'!$B:$DE,VLOOKUP('Non-SWB CaseList'!AK$6,'Non-SWB Lists'!$A$1:$C$39,3,FALSE),FALSE)),"")</f>
        <v/>
      </c>
      <c r="AL14" s="9" t="str">
        <f>IFERROR(IF(VLOOKUP($D14,'Raw Data'!$B:$DE,VLOOKUP('Non-SWB CaseList'!AL$6,'Non-SWB Lists'!$A$1:$C$39,3,FALSE),FALSE)=0,"",VLOOKUP($D14,'Raw Data'!$B:$DE,VLOOKUP('Non-SWB CaseList'!AL$6,'Non-SWB Lists'!$A$1:$C$39,3,FALSE),FALSE)),"")</f>
        <v/>
      </c>
      <c r="AM14" s="9" t="str">
        <f>IFERROR(IF(VLOOKUP($D14,'Raw Data'!$B:$DE,VLOOKUP('Non-SWB CaseList'!AM$6,'Non-SWB Lists'!$A$1:$C$39,3,FALSE),FALSE)=0,"",VLOOKUP($D14,'Raw Data'!$B:$DE,VLOOKUP('Non-SWB CaseList'!AM$6,'Non-SWB Lists'!$A$1:$C$39,3,FALSE),FALSE)),"")</f>
        <v/>
      </c>
      <c r="AN14" s="9" t="str">
        <f>IFERROR(IF(VLOOKUP($D14,'Raw Data'!$B:$DE,VLOOKUP('Non-SWB CaseList'!AN$6,'Non-SWB Lists'!$A$1:$C$39,3,FALSE),FALSE)=0,"NA",VLOOKUP($D14,'Raw Data'!$B:$DE,VLOOKUP('Non-SWB CaseList'!AN$6,'Non-SWB Lists'!$A$1:$C$39,3,FALSE),FALSE)),"NA")</f>
        <v>NA</v>
      </c>
      <c r="AO14" s="9" t="str">
        <f>IFERROR(IF(VLOOKUP($D14,'Raw Data'!$B:$DE,VLOOKUP('Non-SWB CaseList'!AO$6,'Non-SWB Lists'!$A$1:$C$39,3,FALSE),FALSE)=0,"",VLOOKUP($D14,'Raw Data'!$B:$DE,VLOOKUP('Non-SWB CaseList'!AO$6,'Non-SWB Lists'!$A$1:$C$39,3,FALSE),FALSE)),"")</f>
        <v/>
      </c>
      <c r="AP14" s="9" t="str">
        <f>IFERROR(IF(VLOOKUP($D14,'Raw Data'!$B:$DE,VLOOKUP('Non-SWB CaseList'!AP$6,'Non-SWB Lists'!$A$1:$C$39,3,FALSE),FALSE)=0,"",VLOOKUP($D14,'Raw Data'!$B:$DE,VLOOKUP('Non-SWB CaseList'!AP$6,'Non-SWB Lists'!$A$1:$C$39,3,FALSE),FALSE)),"")</f>
        <v/>
      </c>
      <c r="AQ14" s="9" t="str">
        <f>IFERROR(IF(VLOOKUP($D14,'Raw Data'!$B:$DE,VLOOKUP('Non-SWB CaseList'!AQ$6,'Non-SWB Lists'!$A$1:$C$39,3,FALSE),FALSE)=0,"",VLOOKUP($D14,'Raw Data'!$B:$DE,VLOOKUP('Non-SWB CaseList'!AQ$6,'Non-SWB Lists'!$A$1:$C$39,3,FALSE),FALSE)),"")</f>
        <v/>
      </c>
      <c r="AR14" s="9" t="str">
        <f>IFERROR(IF(VLOOKUP($D14,'Raw Data'!$B:$DE,VLOOKUP('Non-SWB CaseList'!AR$6,'Non-SWB Lists'!$A$1:$C$39,3,FALSE),FALSE)=0,"",VLOOKUP($D14,'Raw Data'!$B:$DE,VLOOKUP('Non-SWB CaseList'!AR$6,'Non-SWB Lists'!$A$1:$C$39,3,FALSE),FALSE)),"")</f>
        <v/>
      </c>
    </row>
    <row r="15" spans="1:46" x14ac:dyDescent="0.35">
      <c r="A15" s="40"/>
      <c r="B15" s="3" t="s">
        <v>373</v>
      </c>
      <c r="C15" s="3" t="s">
        <v>45</v>
      </c>
      <c r="D15" s="32">
        <v>12392979</v>
      </c>
      <c r="E15" s="33" t="str">
        <f>IFERROR(IF(VLOOKUP($D15,'Raw Data'!$B:$DE,VLOOKUP('Non-SWB CaseList'!E$6,'Non-SWB Lists'!$A$1:$C$39,3,FALSE),FALSE)=0,"",VLOOKUP($D15,'Raw Data'!$B:$DE,VLOOKUP('Non-SWB CaseList'!E$6,'Non-SWB Lists'!$A$1:$C$39,3,FALSE),FALSE)),"")</f>
        <v/>
      </c>
      <c r="F15" s="3" t="s">
        <v>46</v>
      </c>
      <c r="G15" s="2" t="str">
        <f>IFERROR(IF(VLOOKUP($D15,'Raw Data'!$B:$DE,VLOOKUP('Non-SWB CaseList'!G$6,'Non-SWB Lists'!$A$1:$C$39,3,FALSE),FALSE)=0,"",VLOOKUP($D15,'Raw Data'!$B:$DE,VLOOKUP('Non-SWB CaseList'!G$6,'Non-SWB Lists'!$A$1:$C$39,3,FALSE),FALSE)),"")</f>
        <v/>
      </c>
      <c r="H15" s="2" t="str">
        <f>IFERROR(IF(VLOOKUP($D15,'Raw Data'!$B:$DE,VLOOKUP('Non-SWB CaseList'!H$6,'Non-SWB Lists'!$A$1:$C$39,3,FALSE),FALSE)=0,"",VLOOKUP($D15,'Raw Data'!$B:$DE,VLOOKUP('Non-SWB CaseList'!H$6,'Non-SWB Lists'!$A$1:$C$39,3,FALSE),FALSE)),"")</f>
        <v/>
      </c>
      <c r="I15" s="2" t="str">
        <f>IFERROR(IF(VLOOKUP($D15,'Raw Data'!$B:$DE,VLOOKUP('Non-SWB CaseList'!I$6,'Non-SWB Lists'!$A$1:$C$39,3,FALSE),FALSE)=0,"",VLOOKUP($D15,'Raw Data'!$B:$DE,VLOOKUP('Non-SWB CaseList'!I$6,'Non-SWB Lists'!$A$1:$C$39,3,FALSE),FALSE)),"")</f>
        <v/>
      </c>
      <c r="J15" s="2" t="str">
        <f>IFERROR(IF(VLOOKUP($D15,'Raw Data'!$B:$DE,VLOOKUP('Non-SWB CaseList'!J$6,'Non-SWB Lists'!$A$1:$C$39,3,FALSE),FALSE)=0,"",VLOOKUP($D15,'Raw Data'!$B:$DE,VLOOKUP('Non-SWB CaseList'!J$6,'Non-SWB Lists'!$A$1:$C$39,3,FALSE),FALSE)),"")</f>
        <v/>
      </c>
      <c r="K15" s="2" t="str">
        <f>IFERROR(IF(VLOOKUP($D15,'Raw Data'!$B:$DE,VLOOKUP('Non-SWB CaseList'!K$6,'Non-SWB Lists'!$A$1:$C$39,3,FALSE),FALSE)=0,"",VLOOKUP($D15,'Raw Data'!$B:$DE,VLOOKUP('Non-SWB CaseList'!K$6,'Non-SWB Lists'!$A$1:$C$39,3,FALSE),FALSE)),"")</f>
        <v/>
      </c>
      <c r="L15" s="2" t="str">
        <f>IFERROR(IF(VLOOKUP($D15,'Raw Data'!$B:$DE,VLOOKUP('Non-SWB CaseList'!L$6,'Non-SWB Lists'!$A$1:$C$39,3,FALSE),FALSE)=0,"",VLOOKUP($D15,'Raw Data'!$B:$DE,VLOOKUP('Non-SWB CaseList'!L$6,'Non-SWB Lists'!$A$1:$C$39,3,FALSE),FALSE)),"")</f>
        <v/>
      </c>
      <c r="M15" s="2" t="str">
        <f>IFERROR(IF(VLOOKUP($D15,'Raw Data'!$B:$DE,VLOOKUP('Non-SWB CaseList'!M$6,'Non-SWB Lists'!$A$1:$C$39,3,FALSE),FALSE)=0,"",VLOOKUP($D15,'Raw Data'!$B:$DE,VLOOKUP('Non-SWB CaseList'!M$6,'Non-SWB Lists'!$A$1:$C$39,3,FALSE),FALSE)),"")</f>
        <v/>
      </c>
      <c r="N15" s="2" t="str">
        <f>IFERROR(IF(VLOOKUP($D15,'Raw Data'!$B:$DE,VLOOKUP('Non-SWB CaseList'!N$6,'Non-SWB Lists'!$A$1:$C$39,3,FALSE),FALSE)=0,"",VLOOKUP($D15,'Raw Data'!$B:$DE,VLOOKUP('Non-SWB CaseList'!N$6,'Non-SWB Lists'!$A$1:$C$39,3,FALSE),FALSE)),"")</f>
        <v/>
      </c>
      <c r="O15" s="9" t="str">
        <f>IFERROR(IF(VLOOKUP($D15,'Raw Data'!$B:$DE,VLOOKUP('Non-SWB CaseList'!O$6,'Non-SWB Lists'!$A$1:$C$39,3,FALSE),FALSE)=0,"",VLOOKUP($D15,'Raw Data'!$B:$DE,VLOOKUP('Non-SWB CaseList'!O$6,'Non-SWB Lists'!$A$1:$C$39,3,FALSE),FALSE)),"")</f>
        <v/>
      </c>
      <c r="P15" s="9" t="str">
        <f>IFERROR(IF(VLOOKUP($D15,'Raw Data'!$B:$DE,VLOOKUP('Non-SWB CaseList'!P$6,'Non-SWB Lists'!$A$1:$C$39,3,FALSE),FALSE)=0,"",VLOOKUP($D15,'Raw Data'!$B:$DE,VLOOKUP('Non-SWB CaseList'!P$6,'Non-SWB Lists'!$A$1:$C$39,3,FALSE),FALSE)),"")</f>
        <v/>
      </c>
      <c r="Q15" s="9" t="str">
        <f>IFERROR(IF(VLOOKUP($D15,'Raw Data'!$B:$DE,VLOOKUP('Non-SWB CaseList'!Q$6,'Non-SWB Lists'!$A$1:$C$39,3,FALSE),FALSE)=0,"",VLOOKUP($D15,'Raw Data'!$B:$DE,VLOOKUP('Non-SWB CaseList'!Q$6,'Non-SWB Lists'!$A$1:$C$39,3,FALSE),FALSE)),"")</f>
        <v/>
      </c>
      <c r="R15" s="9" t="str">
        <f>IFERROR(IF(VLOOKUP($D15,'Raw Data'!$B:$DE,VLOOKUP('Non-SWB CaseList'!R$6,'Non-SWB Lists'!$A$1:$C$39,3,FALSE),FALSE)=0,"",VLOOKUP($D15,'Raw Data'!$B:$DE,VLOOKUP('Non-SWB CaseList'!R$6,'Non-SWB Lists'!$A$1:$C$39,3,FALSE),FALSE)),"")</f>
        <v/>
      </c>
      <c r="S15" s="9" t="str">
        <f>IFERROR(IF(VLOOKUP($D15,'Raw Data'!$B:$DE,VLOOKUP('Non-SWB CaseList'!S$6,'Non-SWB Lists'!$A$1:$C$39,3,FALSE),FALSE)=0,"",VLOOKUP($D15,'Raw Data'!$B:$DE,VLOOKUP('Non-SWB CaseList'!S$6,'Non-SWB Lists'!$A$1:$C$39,3,FALSE),FALSE)),"")</f>
        <v/>
      </c>
      <c r="T15" s="9" t="str">
        <f>IFERROR(IF(VLOOKUP($D15,'Raw Data'!$B:$DE,VLOOKUP('Non-SWB CaseList'!T$6,'Non-SWB Lists'!$A$1:$C$39,3,FALSE),FALSE)=0,"",VLOOKUP($D15,'Raw Data'!$B:$DE,VLOOKUP('Non-SWB CaseList'!T$6,'Non-SWB Lists'!$A$1:$C$39,3,FALSE),FALSE)),"")</f>
        <v/>
      </c>
      <c r="U15" s="9" t="str">
        <f>IFERROR(IF(VLOOKUP($D15,'Raw Data'!$B:$DE,VLOOKUP('Non-SWB CaseList'!U$6,'Non-SWB Lists'!$A$1:$C$39,3,FALSE),FALSE)=0,"",VLOOKUP($D15,'Raw Data'!$B:$DE,VLOOKUP('Non-SWB CaseList'!U$6,'Non-SWB Lists'!$A$1:$C$39,3,FALSE),FALSE)),"")</f>
        <v/>
      </c>
      <c r="V15" s="9" t="str">
        <f>IFERROR(IF(VLOOKUP($D15,'Raw Data'!$B:$DE,VLOOKUP('Non-SWB CaseList'!V$6,'Non-SWB Lists'!$A$1:$C$39,3,FALSE),FALSE)=0,"",VLOOKUP($D15,'Raw Data'!$B:$DE,VLOOKUP('Non-SWB CaseList'!V$6,'Non-SWB Lists'!$A$1:$C$39,3,FALSE),FALSE)),"")</f>
        <v/>
      </c>
      <c r="W15" s="9" t="str">
        <f>IFERROR(IF(VLOOKUP($D15,'Raw Data'!$B:$DE,VLOOKUP('Non-SWB CaseList'!W$6,'Non-SWB Lists'!$A$1:$C$39,3,FALSE),FALSE)=0,"",VLOOKUP($D15,'Raw Data'!$B:$DE,VLOOKUP('Non-SWB CaseList'!W$6,'Non-SWB Lists'!$A$1:$C$39,3,FALSE),FALSE)),"")</f>
        <v/>
      </c>
      <c r="X15" s="9" t="str">
        <f>IFERROR(IF(VLOOKUP($D15,'Raw Data'!$B:$DE,VLOOKUP('Non-SWB CaseList'!X$6,'Non-SWB Lists'!$A$1:$C$39,3,FALSE),FALSE)=0,"",VLOOKUP($D15,'Raw Data'!$B:$DE,VLOOKUP('Non-SWB CaseList'!X$6,'Non-SWB Lists'!$A$1:$C$39,3,FALSE),FALSE)),"")</f>
        <v/>
      </c>
      <c r="Y15" s="9" t="str">
        <f>IFERROR(IF(VLOOKUP($D15,'Raw Data'!$B:$DE,VLOOKUP('Non-SWB CaseList'!Y$6,'Non-SWB Lists'!$A$1:$C$39,3,FALSE),FALSE)=0,"",VLOOKUP($D15,'Raw Data'!$B:$DE,VLOOKUP('Non-SWB CaseList'!Y$6,'Non-SWB Lists'!$A$1:$C$39,3,FALSE),FALSE)),"")</f>
        <v/>
      </c>
      <c r="Z15" s="9" t="str">
        <f>IFERROR(IF(VLOOKUP($D15,'Raw Data'!$B:$DE,VLOOKUP('Non-SWB CaseList'!Z$6,'Non-SWB Lists'!$A$1:$C$39,3,FALSE),FALSE)=0,"",VLOOKUP($D15,'Raw Data'!$B:$DE,VLOOKUP('Non-SWB CaseList'!Z$6,'Non-SWB Lists'!$A$1:$C$39,3,FALSE),FALSE)),"")</f>
        <v/>
      </c>
      <c r="AA15" s="9" t="str">
        <f>IFERROR(IF(VLOOKUP($D15,'Raw Data'!$B:$DE,VLOOKUP('Non-SWB CaseList'!AA$6,'Non-SWB Lists'!$A$1:$C$39,3,FALSE),FALSE)=0,"",VLOOKUP($D15,'Raw Data'!$B:$DE,VLOOKUP('Non-SWB CaseList'!AA$6,'Non-SWB Lists'!$A$1:$C$39,3,FALSE),FALSE)),"")</f>
        <v/>
      </c>
      <c r="AB15" s="9" t="str">
        <f>IFERROR(IF(VLOOKUP($D15,'Raw Data'!$B:$DE,VLOOKUP('Non-SWB CaseList'!AB$6,'Non-SWB Lists'!$A$1:$C$39,3,FALSE),FALSE)=0,"",VLOOKUP($D15,'Raw Data'!$B:$DE,VLOOKUP('Non-SWB CaseList'!AB$6,'Non-SWB Lists'!$A$1:$C$39,3,FALSE),FALSE)),"")</f>
        <v/>
      </c>
      <c r="AC15" s="9" t="str">
        <f>IFERROR(IF(VLOOKUP($D15,'Raw Data'!$B:$DE,VLOOKUP('Non-SWB CaseList'!AC$6,'Non-SWB Lists'!$A$1:$C$39,3,FALSE),FALSE)=0,"",VLOOKUP($D15,'Raw Data'!$B:$DE,VLOOKUP('Non-SWB CaseList'!AC$6,'Non-SWB Lists'!$A$1:$C$39,3,FALSE),FALSE)),"")</f>
        <v/>
      </c>
      <c r="AD15" s="9" t="str">
        <f>IFERROR(IF(VLOOKUP($D15,'Raw Data'!$B:$DE,VLOOKUP('Non-SWB CaseList'!AD$6,'Non-SWB Lists'!$A$1:$C$39,3,FALSE),FALSE)=0,"",VLOOKUP($D15,'Raw Data'!$B:$DE,VLOOKUP('Non-SWB CaseList'!AD$6,'Non-SWB Lists'!$A$1:$C$39,3,FALSE),FALSE)),"")</f>
        <v/>
      </c>
      <c r="AE15" s="9" t="str">
        <f>IFERROR(IF(VLOOKUP($D15,'Raw Data'!$B:$DE,VLOOKUP('Non-SWB CaseList'!AE$6,'Non-SWB Lists'!$A$1:$C$39,3,FALSE),FALSE)=0,"",VLOOKUP($D15,'Raw Data'!$B:$DE,VLOOKUP('Non-SWB CaseList'!AE$6,'Non-SWB Lists'!$A$1:$C$39,3,FALSE),FALSE)),"")</f>
        <v/>
      </c>
      <c r="AF15" s="9" t="str">
        <f>IFERROR(IF(VLOOKUP($D15,'Raw Data'!$B:$DE,VLOOKUP('Non-SWB CaseList'!AF$6,'Non-SWB Lists'!$A$1:$C$39,3,FALSE),FALSE)=0,"",VLOOKUP($D15,'Raw Data'!$B:$DE,VLOOKUP('Non-SWB CaseList'!AF$6,'Non-SWB Lists'!$A$1:$C$39,3,FALSE),FALSE)),"")</f>
        <v/>
      </c>
      <c r="AG15" s="9" t="str">
        <f>IFERROR(IF(VLOOKUP($D15,'Raw Data'!$B:$DE,VLOOKUP('Non-SWB CaseList'!AG$6,'Non-SWB Lists'!$A$1:$C$39,3,FALSE),FALSE)=0,"",VLOOKUP($D15,'Raw Data'!$B:$DE,VLOOKUP('Non-SWB CaseList'!AG$6,'Non-SWB Lists'!$A$1:$C$39,3,FALSE),FALSE)),"")</f>
        <v/>
      </c>
      <c r="AH15" s="9" t="str">
        <f>IFERROR(IF(VLOOKUP($D15,'Raw Data'!$B:$DE,VLOOKUP('Non-SWB CaseList'!AH$6,'Non-SWB Lists'!$A$1:$C$39,3,FALSE),FALSE)=0,"",VLOOKUP($D15,'Raw Data'!$B:$DE,VLOOKUP('Non-SWB CaseList'!AH$6,'Non-SWB Lists'!$A$1:$C$39,3,FALSE),FALSE)),"")</f>
        <v/>
      </c>
      <c r="AI15" s="9" t="str">
        <f>IFERROR(IF(VLOOKUP($D15,'Raw Data'!$B:$DE,VLOOKUP('Non-SWB CaseList'!AI$6,'Non-SWB Lists'!$A$1:$C$39,3,FALSE),FALSE)=0,"",VLOOKUP($D15,'Raw Data'!$B:$DE,VLOOKUP('Non-SWB CaseList'!AI$6,'Non-SWB Lists'!$A$1:$C$39,3,FALSE),FALSE)),"")</f>
        <v/>
      </c>
      <c r="AJ15" s="9" t="str">
        <f>IFERROR(IF(VLOOKUP($D15,'Raw Data'!$B:$DE,VLOOKUP('Non-SWB CaseList'!AJ$6,'Non-SWB Lists'!$A$1:$C$39,3,FALSE),FALSE)=0,"",VLOOKUP($D15,'Raw Data'!$B:$DE,VLOOKUP('Non-SWB CaseList'!AJ$6,'Non-SWB Lists'!$A$1:$C$39,3,FALSE),FALSE)),"")</f>
        <v/>
      </c>
      <c r="AK15" s="9" t="str">
        <f>IFERROR(IF(VLOOKUP($D15,'Raw Data'!$B:$DE,VLOOKUP('Non-SWB CaseList'!AK$6,'Non-SWB Lists'!$A$1:$C$39,3,FALSE),FALSE)=0,"",VLOOKUP($D15,'Raw Data'!$B:$DE,VLOOKUP('Non-SWB CaseList'!AK$6,'Non-SWB Lists'!$A$1:$C$39,3,FALSE),FALSE)),"")</f>
        <v/>
      </c>
      <c r="AL15" s="9" t="str">
        <f>IFERROR(IF(VLOOKUP($D15,'Raw Data'!$B:$DE,VLOOKUP('Non-SWB CaseList'!AL$6,'Non-SWB Lists'!$A$1:$C$39,3,FALSE),FALSE)=0,"",VLOOKUP($D15,'Raw Data'!$B:$DE,VLOOKUP('Non-SWB CaseList'!AL$6,'Non-SWB Lists'!$A$1:$C$39,3,FALSE),FALSE)),"")</f>
        <v/>
      </c>
      <c r="AM15" s="9" t="str">
        <f>IFERROR(IF(VLOOKUP($D15,'Raw Data'!$B:$DE,VLOOKUP('Non-SWB CaseList'!AM$6,'Non-SWB Lists'!$A$1:$C$39,3,FALSE),FALSE)=0,"",VLOOKUP($D15,'Raw Data'!$B:$DE,VLOOKUP('Non-SWB CaseList'!AM$6,'Non-SWB Lists'!$A$1:$C$39,3,FALSE),FALSE)),"")</f>
        <v/>
      </c>
      <c r="AN15" s="9" t="str">
        <f>IFERROR(IF(VLOOKUP($D15,'Raw Data'!$B:$DE,VLOOKUP('Non-SWB CaseList'!AN$6,'Non-SWB Lists'!$A$1:$C$39,3,FALSE),FALSE)=0,"NA",VLOOKUP($D15,'Raw Data'!$B:$DE,VLOOKUP('Non-SWB CaseList'!AN$6,'Non-SWB Lists'!$A$1:$C$39,3,FALSE),FALSE)),"NA")</f>
        <v>NA</v>
      </c>
      <c r="AO15" s="9" t="str">
        <f>IFERROR(IF(VLOOKUP($D15,'Raw Data'!$B:$DE,VLOOKUP('Non-SWB CaseList'!AO$6,'Non-SWB Lists'!$A$1:$C$39,3,FALSE),FALSE)=0,"",VLOOKUP($D15,'Raw Data'!$B:$DE,VLOOKUP('Non-SWB CaseList'!AO$6,'Non-SWB Lists'!$A$1:$C$39,3,FALSE),FALSE)),"")</f>
        <v/>
      </c>
      <c r="AP15" s="9" t="str">
        <f>IFERROR(IF(VLOOKUP($D15,'Raw Data'!$B:$DE,VLOOKUP('Non-SWB CaseList'!AP$6,'Non-SWB Lists'!$A$1:$C$39,3,FALSE),FALSE)=0,"",VLOOKUP($D15,'Raw Data'!$B:$DE,VLOOKUP('Non-SWB CaseList'!AP$6,'Non-SWB Lists'!$A$1:$C$39,3,FALSE),FALSE)),"")</f>
        <v/>
      </c>
      <c r="AQ15" s="9" t="str">
        <f>IFERROR(IF(VLOOKUP($D15,'Raw Data'!$B:$DE,VLOOKUP('Non-SWB CaseList'!AQ$6,'Non-SWB Lists'!$A$1:$C$39,3,FALSE),FALSE)=0,"",VLOOKUP($D15,'Raw Data'!$B:$DE,VLOOKUP('Non-SWB CaseList'!AQ$6,'Non-SWB Lists'!$A$1:$C$39,3,FALSE),FALSE)),"")</f>
        <v/>
      </c>
      <c r="AR15" s="9" t="str">
        <f>IFERROR(IF(VLOOKUP($D15,'Raw Data'!$B:$DE,VLOOKUP('Non-SWB CaseList'!AR$6,'Non-SWB Lists'!$A$1:$C$39,3,FALSE),FALSE)=0,"",VLOOKUP($D15,'Raw Data'!$B:$DE,VLOOKUP('Non-SWB CaseList'!AR$6,'Non-SWB Lists'!$A$1:$C$39,3,FALSE),FALSE)),"")</f>
        <v/>
      </c>
    </row>
  </sheetData>
  <mergeCells count="1">
    <mergeCell ref="F2:H3"/>
  </mergeCells>
  <phoneticPr fontId="1" type="noConversion"/>
  <conditionalFormatting sqref="D7:D15">
    <cfRule type="duplicateValues" dxfId="84" priority="48"/>
  </conditionalFormatting>
  <dataValidations count="13">
    <dataValidation type="list" allowBlank="1" showInputMessage="1" showErrorMessage="1" sqref="C6 IU6 SQ6 ACM6 AMI6 AWE6 BGA6 BPW6 BZS6 CJO6 CTK6 DDG6 DNC6 DWY6 EGU6 EQQ6 FAM6 FKI6 FUE6 GEA6 GNW6 GXS6 HHO6 HRK6 IBG6 ILC6 IUY6 JEU6 JOQ6 JYM6 KII6 KSE6 LCA6 LLW6 LVS6 MFO6 MPK6 MZG6 NJC6 NSY6 OCU6 OMQ6 OWM6 PGI6 PQE6 QAA6 QJW6 QTS6 RDO6 RNK6 RXG6 SHC6 SQY6 TAU6 TKQ6 TUM6 UEI6 UOE6 UYA6 VHW6 VRS6 WBO6 WLK6 WVG6" xr:uid="{3C48F9E9-4921-4C50-AB3B-0556B2D1ABF8}">
      <formula1>"Business Group"</formula1>
    </dataValidation>
    <dataValidation type="list" allowBlank="1" showInputMessage="1" showErrorMessage="1" sqref="L6 JD6 SZ6 ACV6 AMR6 AWN6 BGJ6 BQF6 CAB6 CJX6 CTT6 DDP6 DNL6 DXH6 EHD6 EQZ6 FAV6 FKR6 FUN6 GEJ6 GOF6 GYB6 HHX6 HRT6 IBP6 ILL6 IVH6 JFD6 JOZ6 JYV6 KIR6 KSN6 LCJ6 LMF6 LWB6 MFX6 MPT6 MZP6 NJL6 NTH6 ODD6 OMZ6 OWV6 PGR6 PQN6 QAJ6 QKF6 QUB6 RDX6 RNT6 RXP6 SHL6 SRH6 TBD6 TKZ6 TUV6 UER6 UON6 UYJ6 VIF6 VSB6 WBX6 WLT6 WVP6" xr:uid="{DB727E3F-E599-4001-9CA6-D97BD4FB2F5B}">
      <formula1>"Subject Country"</formula1>
    </dataValidation>
    <dataValidation type="list" allowBlank="1" showInputMessage="1" showErrorMessage="1" sqref="K6 JC6 SY6 ACU6 AMQ6 AWM6 BGI6 BQE6 CAA6 CJW6 CTS6 DDO6 DNK6 DXG6 EHC6 EQY6 FAU6 FKQ6 FUM6 GEI6 GOE6 GYA6 HHW6 HRS6 IBO6 ILK6 IVG6 JFC6 JOY6 JYU6 KIQ6 KSM6 LCI6 LME6 LWA6 MFW6 MPS6 MZO6 NJK6 NTG6 ODC6 OMY6 OWU6 PGQ6 PQM6 QAI6 QKE6 QUA6 RDW6 RNS6 RXO6 SHK6 SRG6 TBC6 TKY6 TUU6 UEQ6 UOM6 UYI6 VIE6 VSA6 WBW6 WLS6 WVO6" xr:uid="{51281F36-F334-49E2-8E17-B59DBA56B6B2}">
      <formula1>"Subject Zip Code"</formula1>
    </dataValidation>
    <dataValidation type="list" allowBlank="1" showInputMessage="1" showErrorMessage="1" sqref="J6 JB6 SX6 ACT6 AMP6 AWL6 BGH6 BQD6 BZZ6 CJV6 CTR6 DDN6 DNJ6 DXF6 EHB6 EQX6 FAT6 FKP6 FUL6 GEH6 GOD6 GXZ6 HHV6 HRR6 IBN6 ILJ6 IVF6 JFB6 JOX6 JYT6 KIP6 KSL6 LCH6 LMD6 LVZ6 MFV6 MPR6 MZN6 NJJ6 NTF6 ODB6 OMX6 OWT6 PGP6 PQL6 QAH6 QKD6 QTZ6 RDV6 RNR6 RXN6 SHJ6 SRF6 TBB6 TKX6 TUT6 UEP6 UOL6 UYH6 VID6 VRZ6 WBV6 WLR6 WVN6" xr:uid="{0C351E4B-C7EE-4042-A107-B4FC4ED46739}">
      <formula1>"Subject State"</formula1>
    </dataValidation>
    <dataValidation type="list" allowBlank="1" showInputMessage="1" showErrorMessage="1" sqref="I6 JA6 SW6 ACS6 AMO6 AWK6 BGG6 BQC6 BZY6 CJU6 CTQ6 DDM6 DNI6 DXE6 EHA6 EQW6 FAS6 FKO6 FUK6 GEG6 GOC6 GXY6 HHU6 HRQ6 IBM6 ILI6 IVE6 JFA6 JOW6 JYS6 KIO6 KSK6 LCG6 LMC6 LVY6 MFU6 MPQ6 MZM6 NJI6 NTE6 ODA6 OMW6 OWS6 PGO6 PQK6 QAG6 QKC6 QTY6 RDU6 RNQ6 RXM6 SHI6 SRE6 TBA6 TKW6 TUS6 UEO6 UOK6 UYG6 VIC6 VRY6 WBU6 WLQ6 WVM6" xr:uid="{028777E9-A4D5-4BDD-9220-E7D5C781358C}">
      <formula1>"Subject City"</formula1>
    </dataValidation>
    <dataValidation type="list" allowBlank="1" showInputMessage="1" showErrorMessage="1" sqref="H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xr:uid="{F2198FEA-0999-48D9-9AE5-B076E1170F5F}">
      <formula1>"Subject Address"</formula1>
    </dataValidation>
    <dataValidation type="list" allowBlank="1" showInputMessage="1" showErrorMessage="1" sqref="G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xr:uid="{FA069881-A2E9-43D1-B17F-7D64C7EDDB0E}">
      <formula1>"Subject Name"</formula1>
    </dataValidation>
    <dataValidation type="list" allowBlank="1" showInputMessage="1" showErrorMessage="1" error="Shop ID should be numeric and should contain upto 11 digits" sqref="D6 IV6 SR6 ACN6 AMJ6 AWF6 BGB6 BPX6 BZT6 CJP6 CTL6 DDH6 DND6 DWZ6 EGV6 EQR6 FAN6 FKJ6 FUF6 GEB6 GNX6 GXT6 HHP6 HRL6 IBH6 ILD6 IUZ6 JEV6 JOR6 JYN6 KIJ6 KSF6 LCB6 LLX6 LVT6 MFP6 MPL6 MZH6 NJD6 NSZ6 OCV6 OMR6 OWN6 PGJ6 PQF6 QAB6 QJX6 QTT6 RDP6 RNL6 RXH6 SHD6 SQZ6 TAV6 TKR6 TUN6 UEJ6 UOF6 UYB6 VHX6 VRT6 WBP6 WLL6 WVH6" xr:uid="{5A02FB75-A743-4500-9362-902B1A783640}">
      <formula1>"Shop ID"</formula1>
    </dataValidation>
    <dataValidation type="list" allowBlank="1" showInputMessage="1" showErrorMessage="1" sqref="A6 IS6 SO6 ACK6 AMG6 AWC6 BFY6 BPU6 BZQ6 CJM6 CTI6 DDE6 DNA6 DWW6 EGS6 EQO6 FAK6 FKG6 FUC6 GDY6 GNU6 GXQ6 HHM6 HRI6 IBE6 ILA6 IUW6 JES6 JOO6 JYK6 KIG6 KSC6 LBY6 LLU6 LVQ6 MFM6 MPI6 MZE6 NJA6 NSW6 OCS6 OMO6 OWK6 PGG6 PQC6 PZY6 QJU6 QTQ6 RDM6 RNI6 RXE6 SHA6 SQW6 TAS6 TKO6 TUK6 UEG6 UOC6 UXY6 VHU6 VRQ6 WBM6 WLI6 WVE6" xr:uid="{C246D6F8-B78D-46CD-B929-D1FB055E0079}">
      <formula1>"Case ID"</formula1>
    </dataValidation>
    <dataValidation type="list" allowBlank="1" showInputMessage="1" showErrorMessage="1" sqref="M6 JE6 TA6 ACW6 AMS6 AWO6 BGK6 BQG6 CAC6 CJY6 CTU6 DDQ6 DNM6 DXI6 EHE6 ERA6 FAW6 FKS6 FUO6 GEK6 GOG6 GYC6 HHY6 HRU6 IBQ6 ILM6 IVI6 JFE6 JPA6 JYW6 KIS6 KSO6 LCK6 LMG6 LWC6 MFY6 MPU6 MZQ6 NJM6 NTI6 ODE6 ONA6 OWW6 PGS6 PQO6 QAK6 QKG6 QUC6 RDY6 RNU6 RXQ6 SHM6 SRI6 TBE6 TLA6 TUW6 UES6 UOO6 UYK6 VIG6 VSC6 WBY6 WLU6 WVQ6" xr:uid="{F11F0113-9424-4032-935C-C4AFDABCC476}">
      <formula1>"Final Pass Fail"</formula1>
    </dataValidation>
    <dataValidation type="list" allowBlank="1" showInputMessage="1" showErrorMessage="1" sqref="B7:B15" xr:uid="{384C40B4-0C45-41CF-B00B-DF33A4B2368B}">
      <formula1>"MYSTERY SHOP - NON SWB V1.0"</formula1>
    </dataValidation>
    <dataValidation type="list" allowBlank="1" showInputMessage="1" showErrorMessage="1" sqref="C7:C15" xr:uid="{23B93B81-F965-470D-BFFA-5882696434FB}">
      <formula1>"GFO"</formula1>
    </dataValidation>
    <dataValidation type="list" allowBlank="1" showInputMessage="1" showErrorMessage="1" sqref="F7:F15" xr:uid="{F6E614CB-1C9C-4DB0-BBC4-8F59D28C1EC5}">
      <formula1>"Agent,Agent Network,Agent Sub Network,Agent Location"</formula1>
    </dataValidation>
  </dataValidations>
  <pageMargins left="0.7" right="0.7" top="0.75" bottom="0.75" header="0.3" footer="0.3"/>
  <pageSetup orientation="portrait" r:id="rId1"/>
  <headerFooter>
    <oddFooter xml:space="preserve">&amp;L_x000D_&amp;1#&amp;"Calibri"&amp;10&amp;K000000 Classification: Western Union Unrestricted Internal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Sheet1.Get_Data_From_File">
                <anchor moveWithCells="1" sizeWithCells="1">
                  <from>
                    <xdr:col>0</xdr:col>
                    <xdr:colOff>31750</xdr:colOff>
                    <xdr:row>0</xdr:row>
                    <xdr:rowOff>38100</xdr:rowOff>
                  </from>
                  <to>
                    <xdr:col>2</xdr:col>
                    <xdr:colOff>0</xdr:colOff>
                    <xdr:row>4</xdr:row>
                    <xdr:rowOff>146050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606F1-71AC-4014-A2CC-4141E3B4CB8C}">
  <sheetPr codeName="Sheet6"/>
  <dimension ref="A1:AU24"/>
  <sheetViews>
    <sheetView workbookViewId="0">
      <selection activeCell="F1" sqref="F1:F1048576"/>
    </sheetView>
  </sheetViews>
  <sheetFormatPr defaultRowHeight="14.5" x14ac:dyDescent="0.35"/>
  <cols>
    <col min="6" max="6" width="17.54296875" style="8" bestFit="1" customWidth="1"/>
  </cols>
  <sheetData>
    <row r="1" spans="1:47" x14ac:dyDescent="0.35">
      <c r="A1" t="s">
        <v>0</v>
      </c>
      <c r="B1" t="s">
        <v>266</v>
      </c>
      <c r="C1" t="s">
        <v>1</v>
      </c>
      <c r="D1" t="s">
        <v>2</v>
      </c>
      <c r="E1" t="s">
        <v>3</v>
      </c>
      <c r="F1" s="8" t="s">
        <v>4</v>
      </c>
      <c r="G1" t="s">
        <v>5</v>
      </c>
      <c r="H1" t="s">
        <v>6</v>
      </c>
      <c r="I1" t="s">
        <v>7</v>
      </c>
      <c r="J1" t="s">
        <v>8</v>
      </c>
      <c r="K1" t="s">
        <v>9</v>
      </c>
      <c r="L1" t="s">
        <v>10</v>
      </c>
      <c r="M1" t="s">
        <v>11</v>
      </c>
      <c r="N1" t="s">
        <v>12</v>
      </c>
      <c r="O1" t="s">
        <v>13</v>
      </c>
      <c r="P1" t="s">
        <v>14</v>
      </c>
      <c r="Q1" t="s">
        <v>15</v>
      </c>
      <c r="R1" t="s">
        <v>16</v>
      </c>
      <c r="S1" t="s">
        <v>17</v>
      </c>
      <c r="T1" t="s">
        <v>18</v>
      </c>
      <c r="U1" t="s">
        <v>19</v>
      </c>
      <c r="V1" t="s">
        <v>20</v>
      </c>
      <c r="W1" t="s">
        <v>21</v>
      </c>
      <c r="X1" t="s">
        <v>22</v>
      </c>
      <c r="Y1" t="s">
        <v>23</v>
      </c>
      <c r="Z1" t="s">
        <v>24</v>
      </c>
      <c r="AA1" t="s">
        <v>25</v>
      </c>
      <c r="AB1" t="s">
        <v>26</v>
      </c>
      <c r="AC1" t="s">
        <v>27</v>
      </c>
      <c r="AD1" t="s">
        <v>28</v>
      </c>
      <c r="AE1" t="s">
        <v>29</v>
      </c>
      <c r="AF1" t="s">
        <v>30</v>
      </c>
      <c r="AG1" t="s">
        <v>31</v>
      </c>
      <c r="AH1" t="s">
        <v>32</v>
      </c>
      <c r="AI1" t="s">
        <v>33</v>
      </c>
      <c r="AJ1" t="s">
        <v>34</v>
      </c>
      <c r="AK1" t="s">
        <v>35</v>
      </c>
      <c r="AL1" t="s">
        <v>36</v>
      </c>
      <c r="AM1" t="s">
        <v>37</v>
      </c>
      <c r="AN1" t="s">
        <v>38</v>
      </c>
      <c r="AO1" t="s">
        <v>39</v>
      </c>
      <c r="AP1" t="s">
        <v>40</v>
      </c>
      <c r="AQ1" t="s">
        <v>41</v>
      </c>
      <c r="AR1" t="s">
        <v>42</v>
      </c>
      <c r="AS1" t="s">
        <v>43</v>
      </c>
      <c r="AT1" t="s">
        <v>267</v>
      </c>
      <c r="AU1" t="s">
        <v>268</v>
      </c>
    </row>
    <row r="2" spans="1:47" x14ac:dyDescent="0.35">
      <c r="A2" t="s">
        <v>269</v>
      </c>
      <c r="B2" t="s">
        <v>270</v>
      </c>
      <c r="C2" t="s">
        <v>44</v>
      </c>
      <c r="D2" t="s">
        <v>45</v>
      </c>
      <c r="E2">
        <v>12014015</v>
      </c>
      <c r="F2" s="8">
        <v>10000002518820</v>
      </c>
      <c r="G2" t="s">
        <v>271</v>
      </c>
      <c r="H2" t="s">
        <v>206</v>
      </c>
      <c r="I2" t="s">
        <v>207</v>
      </c>
      <c r="J2" t="s">
        <v>130</v>
      </c>
      <c r="K2" t="s">
        <v>105</v>
      </c>
      <c r="M2" t="s">
        <v>131</v>
      </c>
      <c r="N2" t="s">
        <v>106</v>
      </c>
      <c r="O2" t="s">
        <v>106</v>
      </c>
      <c r="P2" s="4">
        <v>45741</v>
      </c>
      <c r="Q2" s="7">
        <v>0.63958333333333328</v>
      </c>
      <c r="R2" s="7">
        <v>0.66874999999999996</v>
      </c>
      <c r="U2" t="s">
        <v>102</v>
      </c>
      <c r="V2" t="s">
        <v>123</v>
      </c>
      <c r="Y2" t="s">
        <v>208</v>
      </c>
      <c r="Z2" t="s">
        <v>121</v>
      </c>
      <c r="AB2" t="s">
        <v>209</v>
      </c>
      <c r="AL2" t="s">
        <v>272</v>
      </c>
    </row>
    <row r="3" spans="1:47" x14ac:dyDescent="0.35">
      <c r="A3" t="s">
        <v>273</v>
      </c>
      <c r="B3" t="s">
        <v>270</v>
      </c>
      <c r="C3" t="s">
        <v>44</v>
      </c>
      <c r="D3" t="s">
        <v>45</v>
      </c>
      <c r="E3">
        <v>12010422</v>
      </c>
      <c r="F3" s="8">
        <v>10000002605018</v>
      </c>
      <c r="G3" t="s">
        <v>271</v>
      </c>
      <c r="H3" t="s">
        <v>161</v>
      </c>
      <c r="I3" t="s">
        <v>162</v>
      </c>
      <c r="J3" t="s">
        <v>163</v>
      </c>
      <c r="K3" t="s">
        <v>105</v>
      </c>
      <c r="L3">
        <v>10201</v>
      </c>
      <c r="M3" t="s">
        <v>164</v>
      </c>
      <c r="N3" t="s">
        <v>106</v>
      </c>
      <c r="O3" t="s">
        <v>106</v>
      </c>
      <c r="P3" s="4">
        <v>45736</v>
      </c>
      <c r="U3" t="s">
        <v>103</v>
      </c>
      <c r="AL3" t="s">
        <v>165</v>
      </c>
      <c r="AM3" t="s">
        <v>106</v>
      </c>
      <c r="AT3">
        <v>2</v>
      </c>
      <c r="AU3" t="s">
        <v>45</v>
      </c>
    </row>
    <row r="4" spans="1:47" x14ac:dyDescent="0.35">
      <c r="A4" t="s">
        <v>274</v>
      </c>
      <c r="B4" t="s">
        <v>270</v>
      </c>
      <c r="C4" t="s">
        <v>44</v>
      </c>
      <c r="D4" t="s">
        <v>45</v>
      </c>
      <c r="E4">
        <v>12014006</v>
      </c>
      <c r="F4" s="8">
        <v>10000002606719</v>
      </c>
      <c r="G4" t="s">
        <v>271</v>
      </c>
      <c r="H4" t="s">
        <v>197</v>
      </c>
      <c r="I4" t="s">
        <v>198</v>
      </c>
      <c r="J4" t="s">
        <v>199</v>
      </c>
      <c r="K4" t="s">
        <v>105</v>
      </c>
      <c r="L4">
        <v>10102</v>
      </c>
      <c r="M4" t="s">
        <v>164</v>
      </c>
      <c r="N4" t="s">
        <v>106</v>
      </c>
      <c r="O4" t="s">
        <v>106</v>
      </c>
      <c r="P4" s="4">
        <v>45743</v>
      </c>
      <c r="Q4" s="7">
        <v>0.4284722222222222</v>
      </c>
      <c r="R4" s="7">
        <v>0.46875</v>
      </c>
      <c r="U4" t="s">
        <v>103</v>
      </c>
      <c r="Y4" t="s">
        <v>119</v>
      </c>
      <c r="Z4" t="s">
        <v>104</v>
      </c>
      <c r="AB4" t="s">
        <v>119</v>
      </c>
      <c r="AM4" t="s">
        <v>106</v>
      </c>
      <c r="AT4">
        <v>2</v>
      </c>
      <c r="AU4" t="s">
        <v>45</v>
      </c>
    </row>
    <row r="5" spans="1:47" x14ac:dyDescent="0.35">
      <c r="A5" t="s">
        <v>275</v>
      </c>
      <c r="B5" t="s">
        <v>270</v>
      </c>
      <c r="C5" t="s">
        <v>44</v>
      </c>
      <c r="D5" t="s">
        <v>45</v>
      </c>
      <c r="E5">
        <v>12006724</v>
      </c>
      <c r="F5" s="8">
        <v>10000001547304</v>
      </c>
      <c r="G5" t="s">
        <v>271</v>
      </c>
      <c r="H5" t="s">
        <v>276</v>
      </c>
      <c r="I5" t="s">
        <v>138</v>
      </c>
      <c r="J5" t="s">
        <v>139</v>
      </c>
      <c r="K5" t="s">
        <v>140</v>
      </c>
      <c r="L5">
        <v>37000</v>
      </c>
      <c r="M5" t="s">
        <v>133</v>
      </c>
      <c r="N5" t="s">
        <v>106</v>
      </c>
      <c r="O5" t="s">
        <v>106</v>
      </c>
      <c r="P5" s="4">
        <v>45736</v>
      </c>
      <c r="Q5" s="7">
        <v>0.44374999999999998</v>
      </c>
      <c r="R5" s="7">
        <v>0.44791666666666669</v>
      </c>
      <c r="U5" t="s">
        <v>103</v>
      </c>
      <c r="Y5" t="s">
        <v>119</v>
      </c>
      <c r="Z5" t="s">
        <v>121</v>
      </c>
      <c r="AB5" t="s">
        <v>141</v>
      </c>
      <c r="AL5" t="s">
        <v>142</v>
      </c>
      <c r="AM5" t="s">
        <v>106</v>
      </c>
      <c r="AP5" t="s">
        <v>102</v>
      </c>
      <c r="AQ5" t="s">
        <v>123</v>
      </c>
      <c r="AR5" t="s">
        <v>102</v>
      </c>
      <c r="AS5" t="s">
        <v>126</v>
      </c>
      <c r="AT5">
        <v>2</v>
      </c>
      <c r="AU5" t="s">
        <v>45</v>
      </c>
    </row>
    <row r="6" spans="1:47" x14ac:dyDescent="0.35">
      <c r="A6" t="s">
        <v>277</v>
      </c>
      <c r="B6" t="s">
        <v>270</v>
      </c>
      <c r="C6" t="s">
        <v>44</v>
      </c>
      <c r="D6" t="s">
        <v>45</v>
      </c>
      <c r="E6">
        <v>12010997</v>
      </c>
      <c r="F6" s="8">
        <v>10000002063337</v>
      </c>
      <c r="G6" t="s">
        <v>271</v>
      </c>
      <c r="H6" t="s">
        <v>187</v>
      </c>
      <c r="I6" t="s">
        <v>188</v>
      </c>
      <c r="J6" t="s">
        <v>189</v>
      </c>
      <c r="K6" t="s">
        <v>190</v>
      </c>
      <c r="L6">
        <v>77539</v>
      </c>
      <c r="M6" t="s">
        <v>133</v>
      </c>
      <c r="N6" t="s">
        <v>106</v>
      </c>
      <c r="O6" t="s">
        <v>106</v>
      </c>
      <c r="P6" s="4">
        <v>45739</v>
      </c>
      <c r="Q6" s="7">
        <v>0.71944444444444444</v>
      </c>
      <c r="R6" s="7">
        <v>0.72361111111111109</v>
      </c>
      <c r="U6" t="s">
        <v>103</v>
      </c>
      <c r="Y6" t="s">
        <v>191</v>
      </c>
      <c r="Z6" t="s">
        <v>104</v>
      </c>
      <c r="AB6" t="s">
        <v>192</v>
      </c>
      <c r="AM6" t="s">
        <v>106</v>
      </c>
      <c r="AT6">
        <v>2</v>
      </c>
      <c r="AU6" t="s">
        <v>45</v>
      </c>
    </row>
    <row r="7" spans="1:47" x14ac:dyDescent="0.35">
      <c r="A7" t="s">
        <v>278</v>
      </c>
      <c r="B7" t="s">
        <v>270</v>
      </c>
      <c r="C7" t="s">
        <v>44</v>
      </c>
      <c r="D7" t="s">
        <v>45</v>
      </c>
      <c r="E7">
        <v>12010998</v>
      </c>
      <c r="F7" s="8">
        <v>10000002063326</v>
      </c>
      <c r="G7" t="s">
        <v>271</v>
      </c>
      <c r="H7" t="s">
        <v>193</v>
      </c>
      <c r="I7" t="s">
        <v>194</v>
      </c>
      <c r="J7" t="s">
        <v>189</v>
      </c>
      <c r="K7" t="s">
        <v>190</v>
      </c>
      <c r="L7">
        <v>77519</v>
      </c>
      <c r="M7" t="s">
        <v>133</v>
      </c>
      <c r="N7" t="s">
        <v>106</v>
      </c>
      <c r="O7" t="s">
        <v>106</v>
      </c>
      <c r="P7" s="4">
        <v>45739</v>
      </c>
      <c r="Q7" s="7">
        <v>0.80277777777777781</v>
      </c>
      <c r="R7" s="7">
        <v>0.80486111111111114</v>
      </c>
      <c r="U7" t="s">
        <v>103</v>
      </c>
      <c r="Y7" t="s">
        <v>119</v>
      </c>
      <c r="Z7" t="s">
        <v>104</v>
      </c>
      <c r="AB7" t="s">
        <v>195</v>
      </c>
      <c r="AL7" t="s">
        <v>196</v>
      </c>
      <c r="AM7" t="s">
        <v>106</v>
      </c>
      <c r="AT7">
        <v>2</v>
      </c>
      <c r="AU7" t="s">
        <v>45</v>
      </c>
    </row>
    <row r="8" spans="1:47" x14ac:dyDescent="0.35">
      <c r="A8" t="s">
        <v>279</v>
      </c>
      <c r="B8" t="s">
        <v>270</v>
      </c>
      <c r="C8" t="s">
        <v>44</v>
      </c>
      <c r="D8" t="s">
        <v>45</v>
      </c>
      <c r="E8">
        <v>12010472</v>
      </c>
      <c r="F8" s="8">
        <v>10000002534530</v>
      </c>
      <c r="G8" t="s">
        <v>271</v>
      </c>
      <c r="H8" t="s">
        <v>173</v>
      </c>
      <c r="I8" t="s">
        <v>174</v>
      </c>
      <c r="J8" t="s">
        <v>175</v>
      </c>
      <c r="K8" t="s">
        <v>105</v>
      </c>
      <c r="M8" t="s">
        <v>127</v>
      </c>
      <c r="N8" t="s">
        <v>122</v>
      </c>
      <c r="O8" t="s">
        <v>122</v>
      </c>
      <c r="P8" s="4">
        <v>45737</v>
      </c>
      <c r="Q8" s="7">
        <v>0.65416666666666667</v>
      </c>
      <c r="R8" s="7">
        <v>0.66527777777777775</v>
      </c>
      <c r="T8" t="s">
        <v>116</v>
      </c>
      <c r="U8" t="s">
        <v>103</v>
      </c>
      <c r="Y8" t="s">
        <v>119</v>
      </c>
      <c r="Z8" t="s">
        <v>121</v>
      </c>
      <c r="AB8" t="s">
        <v>176</v>
      </c>
      <c r="AE8" t="s">
        <v>177</v>
      </c>
      <c r="AF8" t="s">
        <v>103</v>
      </c>
      <c r="AL8" t="s">
        <v>178</v>
      </c>
      <c r="AM8" t="s">
        <v>122</v>
      </c>
      <c r="AN8" t="s">
        <v>102</v>
      </c>
      <c r="AT8">
        <v>1</v>
      </c>
      <c r="AU8" t="s">
        <v>45</v>
      </c>
    </row>
    <row r="9" spans="1:47" x14ac:dyDescent="0.35">
      <c r="A9" t="s">
        <v>280</v>
      </c>
      <c r="B9" t="s">
        <v>270</v>
      </c>
      <c r="C9" t="s">
        <v>44</v>
      </c>
      <c r="D9" t="s">
        <v>45</v>
      </c>
      <c r="E9">
        <v>12010899</v>
      </c>
      <c r="F9" s="8">
        <v>10000002254943</v>
      </c>
      <c r="G9" t="s">
        <v>271</v>
      </c>
      <c r="H9" t="s">
        <v>179</v>
      </c>
      <c r="I9" t="s">
        <v>180</v>
      </c>
      <c r="J9" t="s">
        <v>139</v>
      </c>
      <c r="K9" t="s">
        <v>140</v>
      </c>
      <c r="L9">
        <v>37530</v>
      </c>
      <c r="M9" t="s">
        <v>133</v>
      </c>
      <c r="N9" t="s">
        <v>122</v>
      </c>
      <c r="O9" t="s">
        <v>122</v>
      </c>
      <c r="P9" s="4">
        <v>45740</v>
      </c>
      <c r="Q9" s="7">
        <v>0.43125000000000002</v>
      </c>
      <c r="R9" s="7">
        <v>0.43333333333333335</v>
      </c>
      <c r="T9" t="s">
        <v>137</v>
      </c>
      <c r="U9" t="s">
        <v>103</v>
      </c>
      <c r="Y9" t="s">
        <v>181</v>
      </c>
      <c r="Z9" t="s">
        <v>121</v>
      </c>
      <c r="AB9" t="s">
        <v>182</v>
      </c>
      <c r="AE9" t="s">
        <v>183</v>
      </c>
      <c r="AF9" t="s">
        <v>102</v>
      </c>
      <c r="AG9" t="s">
        <v>119</v>
      </c>
      <c r="AJ9" t="s">
        <v>184</v>
      </c>
      <c r="AK9" t="s">
        <v>185</v>
      </c>
      <c r="AL9" t="s">
        <v>186</v>
      </c>
      <c r="AM9" t="s">
        <v>122</v>
      </c>
      <c r="AN9" t="s">
        <v>103</v>
      </c>
      <c r="AO9" t="s">
        <v>123</v>
      </c>
      <c r="AT9">
        <v>1</v>
      </c>
      <c r="AU9" t="s">
        <v>45</v>
      </c>
    </row>
    <row r="10" spans="1:47" x14ac:dyDescent="0.35">
      <c r="A10" t="s">
        <v>281</v>
      </c>
      <c r="B10" t="s">
        <v>270</v>
      </c>
      <c r="C10" t="s">
        <v>44</v>
      </c>
      <c r="D10" t="s">
        <v>45</v>
      </c>
      <c r="E10">
        <v>12010423</v>
      </c>
      <c r="F10" s="8">
        <v>10000002606694</v>
      </c>
      <c r="G10" t="s">
        <v>271</v>
      </c>
      <c r="H10" t="s">
        <v>166</v>
      </c>
      <c r="I10" t="s">
        <v>167</v>
      </c>
      <c r="J10" t="s">
        <v>168</v>
      </c>
      <c r="K10" t="s">
        <v>105</v>
      </c>
      <c r="L10">
        <v>10301</v>
      </c>
      <c r="M10" t="s">
        <v>164</v>
      </c>
      <c r="N10" t="s">
        <v>106</v>
      </c>
      <c r="O10" t="s">
        <v>106</v>
      </c>
      <c r="P10" s="4">
        <v>45736</v>
      </c>
      <c r="Q10" s="7">
        <v>0.56944444444444442</v>
      </c>
      <c r="R10" s="7">
        <v>0.58680555555555558</v>
      </c>
      <c r="T10" t="s">
        <v>120</v>
      </c>
      <c r="U10" t="s">
        <v>103</v>
      </c>
      <c r="Y10" t="s">
        <v>119</v>
      </c>
      <c r="Z10" t="s">
        <v>104</v>
      </c>
      <c r="AB10" t="s">
        <v>169</v>
      </c>
      <c r="AE10" t="s">
        <v>171</v>
      </c>
      <c r="AF10" t="s">
        <v>103</v>
      </c>
      <c r="AL10" t="s">
        <v>172</v>
      </c>
      <c r="AM10" t="s">
        <v>106</v>
      </c>
      <c r="AN10" t="s">
        <v>102</v>
      </c>
      <c r="AP10" t="s">
        <v>102</v>
      </c>
      <c r="AQ10" t="s">
        <v>123</v>
      </c>
      <c r="AR10" t="s">
        <v>102</v>
      </c>
      <c r="AS10" t="s">
        <v>170</v>
      </c>
      <c r="AT10">
        <v>2</v>
      </c>
      <c r="AU10" t="s">
        <v>45</v>
      </c>
    </row>
    <row r="11" spans="1:47" x14ac:dyDescent="0.35">
      <c r="A11" t="s">
        <v>282</v>
      </c>
      <c r="B11" t="s">
        <v>270</v>
      </c>
      <c r="C11" t="s">
        <v>44</v>
      </c>
      <c r="D11" t="s">
        <v>45</v>
      </c>
      <c r="E11">
        <v>12014008</v>
      </c>
      <c r="F11" s="8">
        <v>10000002019476</v>
      </c>
      <c r="G11" t="s">
        <v>271</v>
      </c>
      <c r="H11" t="s">
        <v>200</v>
      </c>
      <c r="I11" t="s">
        <v>201</v>
      </c>
      <c r="J11" t="s">
        <v>202</v>
      </c>
      <c r="K11" t="s">
        <v>105</v>
      </c>
      <c r="L11">
        <v>10901</v>
      </c>
      <c r="M11" t="s">
        <v>164</v>
      </c>
      <c r="N11" t="s">
        <v>106</v>
      </c>
      <c r="O11" t="s">
        <v>106</v>
      </c>
      <c r="P11" s="4">
        <v>45743</v>
      </c>
      <c r="Q11" s="7">
        <v>0.39166666666666666</v>
      </c>
      <c r="R11" s="7">
        <v>0.40625</v>
      </c>
      <c r="T11" t="s">
        <v>116</v>
      </c>
      <c r="U11" t="s">
        <v>103</v>
      </c>
      <c r="Y11" t="s">
        <v>119</v>
      </c>
      <c r="Z11" t="s">
        <v>121</v>
      </c>
      <c r="AB11" t="s">
        <v>203</v>
      </c>
      <c r="AE11" t="s">
        <v>204</v>
      </c>
      <c r="AF11" t="s">
        <v>103</v>
      </c>
      <c r="AL11" t="s">
        <v>205</v>
      </c>
      <c r="AM11" t="s">
        <v>106</v>
      </c>
      <c r="AN11" t="s">
        <v>102</v>
      </c>
      <c r="AT11">
        <v>2</v>
      </c>
      <c r="AU11" t="s">
        <v>45</v>
      </c>
    </row>
    <row r="12" spans="1:47" x14ac:dyDescent="0.35">
      <c r="A12" t="s">
        <v>283</v>
      </c>
      <c r="B12" t="s">
        <v>270</v>
      </c>
      <c r="C12" t="s">
        <v>44</v>
      </c>
      <c r="D12" t="s">
        <v>45</v>
      </c>
      <c r="E12">
        <v>12008883</v>
      </c>
      <c r="F12" s="8">
        <v>10000002173782</v>
      </c>
      <c r="G12" t="s">
        <v>271</v>
      </c>
      <c r="H12" t="s">
        <v>284</v>
      </c>
      <c r="I12" t="s">
        <v>148</v>
      </c>
      <c r="J12" t="s">
        <v>128</v>
      </c>
      <c r="K12" t="s">
        <v>105</v>
      </c>
      <c r="M12" t="s">
        <v>129</v>
      </c>
      <c r="N12" t="s">
        <v>106</v>
      </c>
      <c r="O12" t="s">
        <v>106</v>
      </c>
      <c r="P12" s="4">
        <v>45735</v>
      </c>
      <c r="Q12" s="7">
        <v>0.51111111111111107</v>
      </c>
      <c r="R12" s="7">
        <v>0.5131944444444444</v>
      </c>
      <c r="T12" t="s">
        <v>125</v>
      </c>
      <c r="U12" t="s">
        <v>103</v>
      </c>
      <c r="Y12" t="s">
        <v>149</v>
      </c>
      <c r="Z12" t="s">
        <v>121</v>
      </c>
      <c r="AB12" t="s">
        <v>150</v>
      </c>
      <c r="AE12" t="s">
        <v>152</v>
      </c>
      <c r="AF12" t="s">
        <v>103</v>
      </c>
      <c r="AL12" t="s">
        <v>153</v>
      </c>
      <c r="AM12" t="s">
        <v>106</v>
      </c>
      <c r="AN12" t="s">
        <v>102</v>
      </c>
      <c r="AP12" t="s">
        <v>102</v>
      </c>
      <c r="AQ12" t="s">
        <v>123</v>
      </c>
      <c r="AR12" t="s">
        <v>102</v>
      </c>
      <c r="AS12" t="s">
        <v>151</v>
      </c>
      <c r="AT12">
        <v>2</v>
      </c>
      <c r="AU12" t="s">
        <v>45</v>
      </c>
    </row>
    <row r="13" spans="1:47" x14ac:dyDescent="0.35">
      <c r="A13" t="s">
        <v>285</v>
      </c>
      <c r="B13" t="s">
        <v>270</v>
      </c>
      <c r="C13" t="s">
        <v>44</v>
      </c>
      <c r="D13" t="s">
        <v>45</v>
      </c>
      <c r="E13">
        <v>12009869</v>
      </c>
      <c r="F13" s="8">
        <v>10000000579980</v>
      </c>
      <c r="G13" t="s">
        <v>271</v>
      </c>
      <c r="H13" t="s">
        <v>154</v>
      </c>
      <c r="I13" t="s">
        <v>155</v>
      </c>
      <c r="J13" t="s">
        <v>156</v>
      </c>
      <c r="K13" t="s">
        <v>157</v>
      </c>
      <c r="M13" t="s">
        <v>132</v>
      </c>
      <c r="N13" t="s">
        <v>106</v>
      </c>
      <c r="O13" t="s">
        <v>106</v>
      </c>
      <c r="P13" s="4">
        <v>45736</v>
      </c>
      <c r="Q13" s="7">
        <v>0.5541666666666667</v>
      </c>
      <c r="R13" s="7">
        <v>0.5625</v>
      </c>
      <c r="T13" t="s">
        <v>125</v>
      </c>
      <c r="U13" t="s">
        <v>102</v>
      </c>
      <c r="V13" t="s">
        <v>123</v>
      </c>
      <c r="Y13" t="s">
        <v>119</v>
      </c>
      <c r="Z13" t="s">
        <v>121</v>
      </c>
      <c r="AB13" t="s">
        <v>158</v>
      </c>
      <c r="AE13" t="s">
        <v>159</v>
      </c>
      <c r="AF13" t="s">
        <v>103</v>
      </c>
      <c r="AL13" t="s">
        <v>160</v>
      </c>
      <c r="AM13" t="s">
        <v>106</v>
      </c>
      <c r="AN13" t="s">
        <v>102</v>
      </c>
      <c r="AT13">
        <v>2</v>
      </c>
      <c r="AU13" t="s">
        <v>45</v>
      </c>
    </row>
    <row r="14" spans="1:47" x14ac:dyDescent="0.35">
      <c r="A14" t="s">
        <v>286</v>
      </c>
      <c r="B14" t="s">
        <v>270</v>
      </c>
      <c r="C14" t="s">
        <v>44</v>
      </c>
      <c r="D14" t="s">
        <v>45</v>
      </c>
      <c r="E14">
        <v>12008813</v>
      </c>
      <c r="F14" s="8">
        <v>10000000694043</v>
      </c>
      <c r="G14" t="s">
        <v>271</v>
      </c>
      <c r="H14" t="s">
        <v>287</v>
      </c>
      <c r="I14" t="s">
        <v>143</v>
      </c>
      <c r="J14" t="s">
        <v>144</v>
      </c>
      <c r="K14" t="s">
        <v>105</v>
      </c>
      <c r="M14" t="s">
        <v>118</v>
      </c>
      <c r="N14" t="s">
        <v>106</v>
      </c>
      <c r="O14" t="s">
        <v>106</v>
      </c>
      <c r="P14" s="4">
        <v>45737</v>
      </c>
      <c r="Q14" s="7">
        <v>0.3972222222222222</v>
      </c>
      <c r="R14" s="7">
        <v>0.40208333333333335</v>
      </c>
      <c r="T14" t="s">
        <v>125</v>
      </c>
      <c r="U14" t="s">
        <v>103</v>
      </c>
      <c r="Y14" t="s">
        <v>119</v>
      </c>
      <c r="Z14" t="s">
        <v>121</v>
      </c>
      <c r="AB14" t="s">
        <v>145</v>
      </c>
      <c r="AE14" t="s">
        <v>146</v>
      </c>
      <c r="AF14" t="s">
        <v>103</v>
      </c>
      <c r="AL14" t="s">
        <v>147</v>
      </c>
      <c r="AM14" t="s">
        <v>106</v>
      </c>
      <c r="AN14" t="s">
        <v>103</v>
      </c>
      <c r="AO14" t="s">
        <v>123</v>
      </c>
      <c r="AT14">
        <v>2</v>
      </c>
      <c r="AU14" t="s">
        <v>45</v>
      </c>
    </row>
    <row r="15" spans="1:47" x14ac:dyDescent="0.35">
      <c r="B15" t="s">
        <v>288</v>
      </c>
      <c r="C15" t="s">
        <v>44</v>
      </c>
      <c r="D15" t="s">
        <v>45</v>
      </c>
      <c r="E15">
        <v>12014121</v>
      </c>
      <c r="F15" s="8">
        <v>10000002051963</v>
      </c>
      <c r="G15" t="s">
        <v>46</v>
      </c>
      <c r="H15" t="s">
        <v>210</v>
      </c>
      <c r="I15" t="s">
        <v>211</v>
      </c>
      <c r="J15" t="s">
        <v>135</v>
      </c>
      <c r="K15" t="s">
        <v>136</v>
      </c>
      <c r="L15">
        <v>64000</v>
      </c>
      <c r="M15" t="s">
        <v>133</v>
      </c>
      <c r="N15" t="s">
        <v>106</v>
      </c>
      <c r="O15" t="s">
        <v>106</v>
      </c>
      <c r="P15" s="4">
        <v>45743</v>
      </c>
      <c r="Q15" s="7">
        <v>0.50208333333333333</v>
      </c>
      <c r="R15" s="7">
        <v>0.50347222222222221</v>
      </c>
      <c r="T15" t="s">
        <v>134</v>
      </c>
      <c r="U15" t="s">
        <v>102</v>
      </c>
      <c r="V15" t="s">
        <v>123</v>
      </c>
      <c r="Y15" t="s">
        <v>124</v>
      </c>
      <c r="Z15" t="s">
        <v>121</v>
      </c>
      <c r="AB15" t="s">
        <v>212</v>
      </c>
      <c r="AE15" t="s">
        <v>213</v>
      </c>
      <c r="AF15" t="s">
        <v>103</v>
      </c>
      <c r="AL15" t="s">
        <v>214</v>
      </c>
      <c r="AM15" t="s">
        <v>106</v>
      </c>
      <c r="AN15" t="s">
        <v>102</v>
      </c>
      <c r="AT15">
        <v>2</v>
      </c>
      <c r="AU15" t="s">
        <v>45</v>
      </c>
    </row>
    <row r="16" spans="1:47" x14ac:dyDescent="0.35">
      <c r="A16" t="s">
        <v>289</v>
      </c>
      <c r="B16" t="s">
        <v>270</v>
      </c>
      <c r="C16" t="s">
        <v>44</v>
      </c>
      <c r="D16" t="s">
        <v>45</v>
      </c>
      <c r="E16">
        <v>12014134</v>
      </c>
      <c r="F16" s="8">
        <v>10000000641655</v>
      </c>
      <c r="G16" t="s">
        <v>271</v>
      </c>
      <c r="H16" t="s">
        <v>215</v>
      </c>
      <c r="I16" t="s">
        <v>216</v>
      </c>
      <c r="J16" t="s">
        <v>139</v>
      </c>
      <c r="K16" t="s">
        <v>140</v>
      </c>
      <c r="L16">
        <v>37000</v>
      </c>
      <c r="M16" t="s">
        <v>133</v>
      </c>
      <c r="N16" t="s">
        <v>106</v>
      </c>
      <c r="O16" t="s">
        <v>106</v>
      </c>
      <c r="P16" s="4">
        <v>45740</v>
      </c>
      <c r="Q16" s="7">
        <v>0.46944444444444444</v>
      </c>
      <c r="R16" s="7">
        <v>0.47638888888888886</v>
      </c>
      <c r="T16" t="s">
        <v>137</v>
      </c>
      <c r="U16" t="s">
        <v>103</v>
      </c>
      <c r="Y16" t="s">
        <v>119</v>
      </c>
      <c r="Z16" t="s">
        <v>121</v>
      </c>
      <c r="AB16" t="s">
        <v>217</v>
      </c>
      <c r="AE16" t="s">
        <v>218</v>
      </c>
      <c r="AF16" t="s">
        <v>103</v>
      </c>
      <c r="AL16" t="s">
        <v>219</v>
      </c>
      <c r="AM16" t="s">
        <v>106</v>
      </c>
      <c r="AN16" t="s">
        <v>102</v>
      </c>
      <c r="AT16">
        <v>2</v>
      </c>
      <c r="AU16" t="s">
        <v>45</v>
      </c>
    </row>
    <row r="17" spans="1:47" x14ac:dyDescent="0.35">
      <c r="A17" t="s">
        <v>290</v>
      </c>
      <c r="B17" t="s">
        <v>270</v>
      </c>
      <c r="C17" t="s">
        <v>44</v>
      </c>
      <c r="D17" t="s">
        <v>45</v>
      </c>
      <c r="E17">
        <v>12014135</v>
      </c>
      <c r="F17" s="8">
        <v>10000001547295</v>
      </c>
      <c r="G17" t="s">
        <v>271</v>
      </c>
      <c r="H17" t="s">
        <v>291</v>
      </c>
      <c r="I17" t="s">
        <v>220</v>
      </c>
      <c r="J17" t="s">
        <v>139</v>
      </c>
      <c r="K17" t="s">
        <v>140</v>
      </c>
      <c r="L17">
        <v>37160</v>
      </c>
      <c r="M17" t="s">
        <v>133</v>
      </c>
      <c r="N17" t="s">
        <v>106</v>
      </c>
      <c r="O17" t="s">
        <v>106</v>
      </c>
      <c r="P17" s="4">
        <v>45740</v>
      </c>
      <c r="Q17" s="7">
        <v>0.49375000000000002</v>
      </c>
      <c r="R17" s="7">
        <v>0.49652777777777779</v>
      </c>
      <c r="T17" t="s">
        <v>137</v>
      </c>
      <c r="U17" t="s">
        <v>103</v>
      </c>
      <c r="Y17" t="s">
        <v>119</v>
      </c>
      <c r="Z17" t="s">
        <v>121</v>
      </c>
      <c r="AB17" t="s">
        <v>221</v>
      </c>
      <c r="AE17" t="s">
        <v>222</v>
      </c>
      <c r="AF17" t="s">
        <v>103</v>
      </c>
      <c r="AL17" t="s">
        <v>223</v>
      </c>
      <c r="AM17" t="s">
        <v>106</v>
      </c>
      <c r="AN17" t="s">
        <v>102</v>
      </c>
      <c r="AP17" t="s">
        <v>102</v>
      </c>
      <c r="AQ17" t="s">
        <v>123</v>
      </c>
      <c r="AR17" t="s">
        <v>102</v>
      </c>
      <c r="AS17" t="s">
        <v>126</v>
      </c>
      <c r="AT17">
        <v>2</v>
      </c>
      <c r="AU17" t="s">
        <v>45</v>
      </c>
    </row>
    <row r="18" spans="1:47" x14ac:dyDescent="0.35">
      <c r="A18" t="s">
        <v>292</v>
      </c>
      <c r="B18" t="s">
        <v>270</v>
      </c>
      <c r="C18" t="s">
        <v>44</v>
      </c>
      <c r="D18" t="s">
        <v>45</v>
      </c>
      <c r="E18">
        <v>12014204</v>
      </c>
      <c r="F18" s="8">
        <v>10000002063316</v>
      </c>
      <c r="G18" t="s">
        <v>271</v>
      </c>
      <c r="H18" t="s">
        <v>224</v>
      </c>
      <c r="I18" t="s">
        <v>225</v>
      </c>
      <c r="J18" t="s">
        <v>189</v>
      </c>
      <c r="K18" t="s">
        <v>190</v>
      </c>
      <c r="L18">
        <v>77535</v>
      </c>
      <c r="M18" t="s">
        <v>133</v>
      </c>
      <c r="N18" t="s">
        <v>106</v>
      </c>
      <c r="O18" t="s">
        <v>106</v>
      </c>
      <c r="P18" s="4">
        <v>45739</v>
      </c>
      <c r="Q18" s="7">
        <v>0.8305555555555556</v>
      </c>
      <c r="R18" s="7">
        <v>0.83472222222222225</v>
      </c>
      <c r="U18" t="s">
        <v>103</v>
      </c>
      <c r="V18" t="s">
        <v>123</v>
      </c>
      <c r="Y18" t="s">
        <v>119</v>
      </c>
      <c r="Z18" t="s">
        <v>121</v>
      </c>
      <c r="AB18" t="s">
        <v>226</v>
      </c>
      <c r="AL18" t="s">
        <v>227</v>
      </c>
      <c r="AM18" t="s">
        <v>106</v>
      </c>
      <c r="AT18">
        <v>2</v>
      </c>
      <c r="AU18" t="s">
        <v>45</v>
      </c>
    </row>
    <row r="19" spans="1:47" x14ac:dyDescent="0.35">
      <c r="A19" t="s">
        <v>293</v>
      </c>
      <c r="B19" t="s">
        <v>270</v>
      </c>
      <c r="C19" t="s">
        <v>44</v>
      </c>
      <c r="D19" t="s">
        <v>45</v>
      </c>
      <c r="E19">
        <v>12014205</v>
      </c>
      <c r="F19" s="8">
        <v>10000002063324</v>
      </c>
      <c r="G19" t="s">
        <v>271</v>
      </c>
      <c r="H19" t="s">
        <v>228</v>
      </c>
      <c r="I19" t="s">
        <v>229</v>
      </c>
      <c r="J19" t="s">
        <v>189</v>
      </c>
      <c r="K19" t="s">
        <v>190</v>
      </c>
      <c r="L19">
        <v>77500</v>
      </c>
      <c r="M19" t="s">
        <v>133</v>
      </c>
      <c r="N19" t="s">
        <v>106</v>
      </c>
      <c r="O19" t="s">
        <v>106</v>
      </c>
      <c r="P19" s="4">
        <v>45739</v>
      </c>
      <c r="Q19" s="7">
        <v>0.77708333333333335</v>
      </c>
      <c r="R19" s="7">
        <v>0.78055555555555556</v>
      </c>
      <c r="T19" t="s">
        <v>125</v>
      </c>
      <c r="U19" t="s">
        <v>103</v>
      </c>
      <c r="Y19" t="s">
        <v>230</v>
      </c>
      <c r="Z19" t="s">
        <v>104</v>
      </c>
      <c r="AB19" t="s">
        <v>231</v>
      </c>
      <c r="AE19" t="s">
        <v>232</v>
      </c>
      <c r="AF19" t="s">
        <v>103</v>
      </c>
      <c r="AL19" t="s">
        <v>233</v>
      </c>
      <c r="AM19" t="s">
        <v>106</v>
      </c>
      <c r="AN19" t="s">
        <v>102</v>
      </c>
      <c r="AT19">
        <v>2</v>
      </c>
      <c r="AU19" t="s">
        <v>45</v>
      </c>
    </row>
    <row r="20" spans="1:47" x14ac:dyDescent="0.35">
      <c r="A20" t="s">
        <v>294</v>
      </c>
      <c r="B20" t="s">
        <v>270</v>
      </c>
      <c r="C20" t="s">
        <v>44</v>
      </c>
      <c r="D20" t="s">
        <v>45</v>
      </c>
      <c r="E20">
        <v>12014407</v>
      </c>
      <c r="F20" s="8">
        <v>10000002458718</v>
      </c>
      <c r="G20" t="s">
        <v>271</v>
      </c>
      <c r="H20" t="s">
        <v>234</v>
      </c>
      <c r="I20" t="s">
        <v>235</v>
      </c>
      <c r="J20" t="s">
        <v>236</v>
      </c>
      <c r="K20" t="s">
        <v>237</v>
      </c>
      <c r="L20">
        <v>45030</v>
      </c>
      <c r="M20" t="s">
        <v>133</v>
      </c>
      <c r="N20" t="s">
        <v>106</v>
      </c>
      <c r="O20" t="s">
        <v>106</v>
      </c>
      <c r="P20" s="4">
        <v>45742</v>
      </c>
      <c r="Q20" s="7">
        <v>0.76041666666666663</v>
      </c>
      <c r="R20" s="7">
        <v>0.76180555555555551</v>
      </c>
      <c r="T20" t="s">
        <v>134</v>
      </c>
      <c r="U20" t="s">
        <v>102</v>
      </c>
      <c r="V20" t="s">
        <v>123</v>
      </c>
      <c r="Y20" t="s">
        <v>119</v>
      </c>
      <c r="Z20" t="s">
        <v>104</v>
      </c>
      <c r="AB20" t="s">
        <v>238</v>
      </c>
      <c r="AE20" t="s">
        <v>239</v>
      </c>
      <c r="AF20" t="s">
        <v>103</v>
      </c>
      <c r="AL20" t="s">
        <v>240</v>
      </c>
      <c r="AM20" t="s">
        <v>106</v>
      </c>
      <c r="AN20" t="s">
        <v>102</v>
      </c>
      <c r="AT20">
        <v>2</v>
      </c>
      <c r="AU20" t="s">
        <v>45</v>
      </c>
    </row>
    <row r="21" spans="1:47" x14ac:dyDescent="0.35">
      <c r="A21" t="s">
        <v>295</v>
      </c>
      <c r="B21" t="s">
        <v>270</v>
      </c>
      <c r="C21" t="s">
        <v>44</v>
      </c>
      <c r="D21" t="s">
        <v>45</v>
      </c>
      <c r="E21">
        <v>12014413</v>
      </c>
      <c r="F21" s="8">
        <v>10000002698941</v>
      </c>
      <c r="G21" t="s">
        <v>271</v>
      </c>
      <c r="H21" t="s">
        <v>241</v>
      </c>
      <c r="I21" t="s">
        <v>242</v>
      </c>
      <c r="J21" t="s">
        <v>236</v>
      </c>
      <c r="K21" t="s">
        <v>237</v>
      </c>
      <c r="L21">
        <v>45050</v>
      </c>
      <c r="M21" t="s">
        <v>133</v>
      </c>
      <c r="N21" t="s">
        <v>106</v>
      </c>
      <c r="O21" t="s">
        <v>106</v>
      </c>
      <c r="P21" s="4">
        <v>45742</v>
      </c>
      <c r="Q21" s="7">
        <v>0.79027777777777775</v>
      </c>
      <c r="R21" s="7">
        <v>0.79236111111111107</v>
      </c>
      <c r="T21" t="s">
        <v>243</v>
      </c>
      <c r="U21" t="s">
        <v>103</v>
      </c>
      <c r="Y21" t="s">
        <v>119</v>
      </c>
      <c r="Z21" t="s">
        <v>104</v>
      </c>
      <c r="AB21" t="s">
        <v>244</v>
      </c>
      <c r="AE21" t="s">
        <v>245</v>
      </c>
      <c r="AF21" t="s">
        <v>103</v>
      </c>
      <c r="AL21" t="s">
        <v>246</v>
      </c>
      <c r="AM21" t="s">
        <v>106</v>
      </c>
      <c r="AN21" t="s">
        <v>102</v>
      </c>
      <c r="AP21" t="s">
        <v>102</v>
      </c>
      <c r="AQ21" t="s">
        <v>123</v>
      </c>
      <c r="AR21" t="s">
        <v>102</v>
      </c>
      <c r="AS21" t="s">
        <v>126</v>
      </c>
      <c r="AT21">
        <v>2</v>
      </c>
      <c r="AU21" t="s">
        <v>45</v>
      </c>
    </row>
    <row r="22" spans="1:47" x14ac:dyDescent="0.35">
      <c r="A22" t="s">
        <v>296</v>
      </c>
      <c r="B22" t="s">
        <v>270</v>
      </c>
      <c r="C22" t="s">
        <v>44</v>
      </c>
      <c r="D22" t="s">
        <v>45</v>
      </c>
      <c r="E22">
        <v>12014416</v>
      </c>
      <c r="F22" s="8">
        <v>10000002713077</v>
      </c>
      <c r="G22" t="s">
        <v>271</v>
      </c>
      <c r="H22" t="s">
        <v>252</v>
      </c>
      <c r="I22" t="s">
        <v>253</v>
      </c>
      <c r="J22" t="s">
        <v>236</v>
      </c>
      <c r="K22" t="s">
        <v>237</v>
      </c>
      <c r="L22">
        <v>45050</v>
      </c>
      <c r="M22" t="s">
        <v>133</v>
      </c>
      <c r="N22" t="s">
        <v>106</v>
      </c>
      <c r="O22" t="s">
        <v>106</v>
      </c>
      <c r="P22" s="4">
        <v>45745</v>
      </c>
      <c r="Q22" s="7">
        <v>0.47847222222222224</v>
      </c>
      <c r="R22" s="7">
        <v>0.48055555555555557</v>
      </c>
      <c r="T22" t="s">
        <v>134</v>
      </c>
      <c r="U22" t="s">
        <v>103</v>
      </c>
      <c r="Y22" t="s">
        <v>119</v>
      </c>
      <c r="Z22" t="s">
        <v>104</v>
      </c>
      <c r="AB22" t="s">
        <v>254</v>
      </c>
      <c r="AE22" t="s">
        <v>255</v>
      </c>
      <c r="AF22" t="s">
        <v>103</v>
      </c>
      <c r="AL22" t="s">
        <v>256</v>
      </c>
      <c r="AM22" t="s">
        <v>106</v>
      </c>
      <c r="AN22" t="s">
        <v>102</v>
      </c>
      <c r="AT22">
        <v>2</v>
      </c>
      <c r="AU22" t="s">
        <v>45</v>
      </c>
    </row>
    <row r="23" spans="1:47" x14ac:dyDescent="0.35">
      <c r="A23" t="s">
        <v>297</v>
      </c>
      <c r="B23" t="s">
        <v>270</v>
      </c>
      <c r="C23" t="s">
        <v>44</v>
      </c>
      <c r="D23" t="s">
        <v>45</v>
      </c>
      <c r="E23">
        <v>12014516</v>
      </c>
      <c r="F23" s="8">
        <v>10000002063310</v>
      </c>
      <c r="G23" t="s">
        <v>271</v>
      </c>
      <c r="H23" t="s">
        <v>257</v>
      </c>
      <c r="I23" t="s">
        <v>258</v>
      </c>
      <c r="J23" t="s">
        <v>189</v>
      </c>
      <c r="K23" t="s">
        <v>190</v>
      </c>
      <c r="L23">
        <v>77517</v>
      </c>
      <c r="M23" t="s">
        <v>133</v>
      </c>
      <c r="N23" t="s">
        <v>106</v>
      </c>
      <c r="O23" t="s">
        <v>106</v>
      </c>
      <c r="P23" s="4">
        <v>45739</v>
      </c>
      <c r="Q23" s="7">
        <v>0.79097222222222219</v>
      </c>
      <c r="R23" s="7">
        <v>0.7944444444444444</v>
      </c>
      <c r="T23" t="s">
        <v>125</v>
      </c>
      <c r="U23" t="s">
        <v>102</v>
      </c>
      <c r="V23" t="s">
        <v>123</v>
      </c>
      <c r="Y23" t="s">
        <v>259</v>
      </c>
      <c r="Z23" t="s">
        <v>121</v>
      </c>
      <c r="AB23" t="s">
        <v>260</v>
      </c>
      <c r="AE23" t="s">
        <v>261</v>
      </c>
      <c r="AF23" t="s">
        <v>102</v>
      </c>
      <c r="AG23" t="s">
        <v>262</v>
      </c>
      <c r="AJ23" t="s">
        <v>263</v>
      </c>
      <c r="AK23" t="s">
        <v>264</v>
      </c>
      <c r="AL23" t="s">
        <v>265</v>
      </c>
      <c r="AM23" t="s">
        <v>106</v>
      </c>
      <c r="AN23" t="s">
        <v>102</v>
      </c>
      <c r="AT23">
        <v>2</v>
      </c>
      <c r="AU23" t="s">
        <v>45</v>
      </c>
    </row>
    <row r="24" spans="1:47" x14ac:dyDescent="0.35">
      <c r="A24" t="s">
        <v>298</v>
      </c>
      <c r="B24" t="s">
        <v>270</v>
      </c>
      <c r="C24" t="s">
        <v>44</v>
      </c>
      <c r="D24" t="s">
        <v>45</v>
      </c>
      <c r="E24">
        <v>12014415</v>
      </c>
      <c r="F24" s="8">
        <v>10000002721608</v>
      </c>
      <c r="G24" t="s">
        <v>271</v>
      </c>
      <c r="H24" t="s">
        <v>247</v>
      </c>
      <c r="I24" t="s">
        <v>248</v>
      </c>
      <c r="J24" t="s">
        <v>236</v>
      </c>
      <c r="K24" t="s">
        <v>237</v>
      </c>
      <c r="L24">
        <v>45040</v>
      </c>
      <c r="M24" t="s">
        <v>133</v>
      </c>
      <c r="N24" t="s">
        <v>106</v>
      </c>
      <c r="O24" t="s">
        <v>106</v>
      </c>
      <c r="P24" s="4">
        <v>45742</v>
      </c>
      <c r="Q24" s="7">
        <v>0.77500000000000002</v>
      </c>
      <c r="R24" s="7">
        <v>0.77708333333333335</v>
      </c>
      <c r="T24" t="s">
        <v>243</v>
      </c>
      <c r="U24" t="s">
        <v>103</v>
      </c>
      <c r="Y24" t="s">
        <v>124</v>
      </c>
      <c r="Z24" t="s">
        <v>104</v>
      </c>
      <c r="AB24" t="s">
        <v>249</v>
      </c>
      <c r="AE24" t="s">
        <v>250</v>
      </c>
      <c r="AF24" t="s">
        <v>103</v>
      </c>
      <c r="AL24" t="s">
        <v>251</v>
      </c>
      <c r="AM24" t="s">
        <v>106</v>
      </c>
      <c r="AN24" t="s">
        <v>102</v>
      </c>
      <c r="AT24">
        <v>2</v>
      </c>
      <c r="AU24" t="s">
        <v>45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51455B-74F1-4986-851D-0567308C5CAD}">
  <sheetPr codeName="Sheet2"/>
  <dimension ref="A1:G127"/>
  <sheetViews>
    <sheetView zoomScale="73" zoomScaleNormal="100" workbookViewId="0">
      <selection activeCell="B9" sqref="B9"/>
    </sheetView>
  </sheetViews>
  <sheetFormatPr defaultRowHeight="14.5" x14ac:dyDescent="0.35"/>
  <cols>
    <col min="1" max="1" width="96.453125" customWidth="1"/>
    <col min="2" max="2" width="36.54296875" customWidth="1"/>
    <col min="3" max="3" width="21.1796875" customWidth="1"/>
    <col min="4" max="4" width="8.81640625" customWidth="1"/>
    <col min="5" max="5" width="0.1796875" customWidth="1"/>
    <col min="6" max="6" width="63.90625" customWidth="1"/>
  </cols>
  <sheetData>
    <row r="1" spans="1:7" x14ac:dyDescent="0.35">
      <c r="A1" t="s">
        <v>3</v>
      </c>
      <c r="B1" t="s">
        <v>47</v>
      </c>
      <c r="C1">
        <v>1</v>
      </c>
      <c r="F1" t="s">
        <v>96</v>
      </c>
      <c r="G1" s="1">
        <v>1</v>
      </c>
    </row>
    <row r="2" spans="1:7" x14ac:dyDescent="0.35">
      <c r="A2" t="s">
        <v>4</v>
      </c>
      <c r="B2" t="s">
        <v>48</v>
      </c>
      <c r="C2">
        <v>10</v>
      </c>
      <c r="F2" t="s">
        <v>97</v>
      </c>
      <c r="G2" s="1">
        <v>2</v>
      </c>
    </row>
    <row r="3" spans="1:7" x14ac:dyDescent="0.35">
      <c r="A3" t="s">
        <v>6</v>
      </c>
      <c r="B3" t="s">
        <v>49</v>
      </c>
      <c r="C3">
        <v>11</v>
      </c>
      <c r="F3" t="s">
        <v>299</v>
      </c>
      <c r="G3" s="1">
        <v>3</v>
      </c>
    </row>
    <row r="4" spans="1:7" x14ac:dyDescent="0.35">
      <c r="A4" t="s">
        <v>7</v>
      </c>
      <c r="B4" t="s">
        <v>50</v>
      </c>
      <c r="C4">
        <v>12</v>
      </c>
      <c r="F4" t="s">
        <v>98</v>
      </c>
      <c r="G4" s="1">
        <v>4</v>
      </c>
    </row>
    <row r="5" spans="1:7" x14ac:dyDescent="0.35">
      <c r="A5" t="s">
        <v>8</v>
      </c>
      <c r="B5" t="s">
        <v>51</v>
      </c>
      <c r="C5">
        <v>13</v>
      </c>
      <c r="F5" t="s">
        <v>74</v>
      </c>
      <c r="G5" s="1">
        <v>5</v>
      </c>
    </row>
    <row r="6" spans="1:7" x14ac:dyDescent="0.35">
      <c r="A6" t="s">
        <v>9</v>
      </c>
      <c r="B6" t="s">
        <v>52</v>
      </c>
      <c r="C6">
        <v>14</v>
      </c>
      <c r="F6" t="s">
        <v>75</v>
      </c>
      <c r="G6" s="1">
        <v>6</v>
      </c>
    </row>
    <row r="7" spans="1:7" x14ac:dyDescent="0.35">
      <c r="A7" t="s">
        <v>10</v>
      </c>
      <c r="B7" t="s">
        <v>53</v>
      </c>
      <c r="C7">
        <v>16</v>
      </c>
      <c r="F7" t="s">
        <v>76</v>
      </c>
      <c r="G7" s="1">
        <v>7</v>
      </c>
    </row>
    <row r="8" spans="1:7" x14ac:dyDescent="0.35">
      <c r="A8" t="s">
        <v>11</v>
      </c>
      <c r="B8" t="s">
        <v>54</v>
      </c>
      <c r="C8">
        <v>15</v>
      </c>
      <c r="F8" t="s">
        <v>77</v>
      </c>
      <c r="G8" s="1">
        <v>8</v>
      </c>
    </row>
    <row r="9" spans="1:7" x14ac:dyDescent="0.35">
      <c r="A9" t="s">
        <v>12</v>
      </c>
      <c r="B9" t="s">
        <v>55</v>
      </c>
      <c r="C9">
        <v>67</v>
      </c>
      <c r="F9" t="s">
        <v>78</v>
      </c>
      <c r="G9" s="1">
        <v>9</v>
      </c>
    </row>
    <row r="10" spans="1:7" x14ac:dyDescent="0.35">
      <c r="A10" t="s">
        <v>13</v>
      </c>
      <c r="B10" t="s">
        <v>55</v>
      </c>
      <c r="C10">
        <v>67</v>
      </c>
      <c r="F10" t="s">
        <v>99</v>
      </c>
      <c r="G10" s="1">
        <v>10</v>
      </c>
    </row>
    <row r="11" spans="1:7" x14ac:dyDescent="0.35">
      <c r="A11" t="s">
        <v>14</v>
      </c>
      <c r="B11" t="s">
        <v>56</v>
      </c>
      <c r="C11">
        <v>2</v>
      </c>
      <c r="F11" t="s">
        <v>300</v>
      </c>
      <c r="G11" s="1">
        <v>11</v>
      </c>
    </row>
    <row r="12" spans="1:7" x14ac:dyDescent="0.35">
      <c r="A12" t="s">
        <v>15</v>
      </c>
      <c r="B12" t="s">
        <v>57</v>
      </c>
      <c r="C12">
        <v>61</v>
      </c>
      <c r="F12" t="s">
        <v>301</v>
      </c>
      <c r="G12" s="1">
        <v>12</v>
      </c>
    </row>
    <row r="13" spans="1:7" x14ac:dyDescent="0.35">
      <c r="A13" t="s">
        <v>16</v>
      </c>
      <c r="B13" t="s">
        <v>59</v>
      </c>
      <c r="C13">
        <v>62</v>
      </c>
      <c r="F13" t="s">
        <v>302</v>
      </c>
      <c r="G13" s="1">
        <v>13</v>
      </c>
    </row>
    <row r="14" spans="1:7" x14ac:dyDescent="0.35">
      <c r="A14" t="s">
        <v>17</v>
      </c>
      <c r="F14" t="s">
        <v>303</v>
      </c>
      <c r="G14" s="1">
        <v>14</v>
      </c>
    </row>
    <row r="15" spans="1:7" x14ac:dyDescent="0.35">
      <c r="A15" t="s">
        <v>18</v>
      </c>
      <c r="B15" t="s">
        <v>60</v>
      </c>
      <c r="C15">
        <v>34</v>
      </c>
      <c r="F15" t="s">
        <v>304</v>
      </c>
      <c r="G15" s="1">
        <v>15</v>
      </c>
    </row>
    <row r="16" spans="1:7" x14ac:dyDescent="0.35">
      <c r="A16" t="s">
        <v>19</v>
      </c>
      <c r="B16" t="s">
        <v>19</v>
      </c>
      <c r="F16" t="s">
        <v>305</v>
      </c>
      <c r="G16" s="1">
        <v>16</v>
      </c>
    </row>
    <row r="17" spans="1:7" x14ac:dyDescent="0.35">
      <c r="A17" t="s">
        <v>20</v>
      </c>
      <c r="B17" t="s">
        <v>20</v>
      </c>
      <c r="F17" t="s">
        <v>58</v>
      </c>
      <c r="G17" s="1">
        <v>17</v>
      </c>
    </row>
    <row r="18" spans="1:7" x14ac:dyDescent="0.35">
      <c r="A18" t="s">
        <v>21</v>
      </c>
      <c r="F18" t="s">
        <v>113</v>
      </c>
      <c r="G18" s="1">
        <v>18</v>
      </c>
    </row>
    <row r="19" spans="1:7" x14ac:dyDescent="0.35">
      <c r="A19" t="s">
        <v>22</v>
      </c>
      <c r="F19" t="s">
        <v>306</v>
      </c>
      <c r="G19" s="1">
        <v>19</v>
      </c>
    </row>
    <row r="20" spans="1:7" x14ac:dyDescent="0.35">
      <c r="A20" t="s">
        <v>23</v>
      </c>
      <c r="B20" t="s">
        <v>61</v>
      </c>
      <c r="C20">
        <v>63</v>
      </c>
      <c r="F20" t="s">
        <v>307</v>
      </c>
      <c r="G20" s="1">
        <v>20</v>
      </c>
    </row>
    <row r="21" spans="1:7" x14ac:dyDescent="0.35">
      <c r="A21" t="s">
        <v>24</v>
      </c>
      <c r="B21" t="s">
        <v>62</v>
      </c>
      <c r="C21">
        <v>66</v>
      </c>
      <c r="F21" t="s">
        <v>79</v>
      </c>
      <c r="G21" s="1">
        <v>21</v>
      </c>
    </row>
    <row r="22" spans="1:7" x14ac:dyDescent="0.35">
      <c r="A22" t="s">
        <v>26</v>
      </c>
      <c r="B22" t="s">
        <v>63</v>
      </c>
      <c r="C22">
        <v>65</v>
      </c>
      <c r="F22" t="s">
        <v>100</v>
      </c>
      <c r="G22" s="1">
        <v>22</v>
      </c>
    </row>
    <row r="23" spans="1:7" x14ac:dyDescent="0.35">
      <c r="A23" t="s">
        <v>27</v>
      </c>
      <c r="F23" t="s">
        <v>80</v>
      </c>
      <c r="G23" s="1">
        <v>23</v>
      </c>
    </row>
    <row r="24" spans="1:7" x14ac:dyDescent="0.35">
      <c r="A24" t="s">
        <v>28</v>
      </c>
      <c r="F24" t="s">
        <v>308</v>
      </c>
      <c r="G24" s="1">
        <v>24</v>
      </c>
    </row>
    <row r="25" spans="1:7" x14ac:dyDescent="0.35">
      <c r="A25" t="s">
        <v>29</v>
      </c>
      <c r="B25" t="s">
        <v>65</v>
      </c>
      <c r="C25">
        <v>71</v>
      </c>
      <c r="F25" t="s">
        <v>309</v>
      </c>
      <c r="G25" s="1">
        <v>25</v>
      </c>
    </row>
    <row r="26" spans="1:7" x14ac:dyDescent="0.35">
      <c r="A26" t="s">
        <v>30</v>
      </c>
      <c r="B26" t="s">
        <v>66</v>
      </c>
      <c r="F26" t="s">
        <v>310</v>
      </c>
      <c r="G26" s="1">
        <v>26</v>
      </c>
    </row>
    <row r="27" spans="1:7" x14ac:dyDescent="0.35">
      <c r="A27" t="s">
        <v>31</v>
      </c>
      <c r="B27" t="s">
        <v>67</v>
      </c>
      <c r="F27" t="s">
        <v>101</v>
      </c>
      <c r="G27" s="1">
        <v>27</v>
      </c>
    </row>
    <row r="28" spans="1:7" x14ac:dyDescent="0.35">
      <c r="A28" t="s">
        <v>32</v>
      </c>
      <c r="F28" t="s">
        <v>91</v>
      </c>
      <c r="G28" s="1">
        <v>28</v>
      </c>
    </row>
    <row r="29" spans="1:7" x14ac:dyDescent="0.35">
      <c r="A29" t="s">
        <v>33</v>
      </c>
      <c r="F29" t="s">
        <v>311</v>
      </c>
      <c r="G29" s="1">
        <v>29</v>
      </c>
    </row>
    <row r="30" spans="1:7" x14ac:dyDescent="0.35">
      <c r="A30" t="s">
        <v>34</v>
      </c>
      <c r="B30" t="s">
        <v>68</v>
      </c>
      <c r="F30" t="s">
        <v>81</v>
      </c>
      <c r="G30" s="1">
        <v>30</v>
      </c>
    </row>
    <row r="31" spans="1:7" x14ac:dyDescent="0.35">
      <c r="A31" t="s">
        <v>35</v>
      </c>
      <c r="B31" t="s">
        <v>69</v>
      </c>
      <c r="F31" t="s">
        <v>82</v>
      </c>
      <c r="G31" s="1">
        <v>31</v>
      </c>
    </row>
    <row r="32" spans="1:7" x14ac:dyDescent="0.35">
      <c r="A32" t="s">
        <v>36</v>
      </c>
      <c r="B32" t="s">
        <v>72</v>
      </c>
      <c r="C32">
        <v>76</v>
      </c>
      <c r="F32" t="s">
        <v>83</v>
      </c>
      <c r="G32" s="1">
        <v>32</v>
      </c>
    </row>
    <row r="33" spans="1:7" x14ac:dyDescent="0.35">
      <c r="A33" t="s">
        <v>37</v>
      </c>
      <c r="B33" t="s">
        <v>55</v>
      </c>
      <c r="C33">
        <v>67</v>
      </c>
      <c r="F33" t="s">
        <v>312</v>
      </c>
      <c r="G33" s="1">
        <v>33</v>
      </c>
    </row>
    <row r="34" spans="1:7" x14ac:dyDescent="0.35">
      <c r="A34" t="s">
        <v>38</v>
      </c>
      <c r="B34" t="s">
        <v>70</v>
      </c>
      <c r="C34">
        <v>74</v>
      </c>
      <c r="F34" t="s">
        <v>84</v>
      </c>
      <c r="G34" s="1">
        <v>34</v>
      </c>
    </row>
    <row r="35" spans="1:7" x14ac:dyDescent="0.35">
      <c r="A35" t="s">
        <v>39</v>
      </c>
      <c r="F35" t="s">
        <v>313</v>
      </c>
      <c r="G35" s="1">
        <v>35</v>
      </c>
    </row>
    <row r="36" spans="1:7" x14ac:dyDescent="0.35">
      <c r="A36" t="s">
        <v>40</v>
      </c>
      <c r="F36" t="s">
        <v>314</v>
      </c>
      <c r="G36" s="1">
        <v>36</v>
      </c>
    </row>
    <row r="37" spans="1:7" x14ac:dyDescent="0.35">
      <c r="A37" t="s">
        <v>41</v>
      </c>
      <c r="F37" t="s">
        <v>315</v>
      </c>
      <c r="G37" s="1">
        <v>37</v>
      </c>
    </row>
    <row r="38" spans="1:7" x14ac:dyDescent="0.35">
      <c r="A38" t="s">
        <v>42</v>
      </c>
      <c r="B38" t="s">
        <v>71</v>
      </c>
      <c r="F38" t="s">
        <v>316</v>
      </c>
      <c r="G38" s="1">
        <v>38</v>
      </c>
    </row>
    <row r="39" spans="1:7" x14ac:dyDescent="0.35">
      <c r="A39" t="s">
        <v>43</v>
      </c>
      <c r="B39" t="s">
        <v>73</v>
      </c>
      <c r="F39" t="s">
        <v>317</v>
      </c>
      <c r="G39" s="1">
        <v>39</v>
      </c>
    </row>
    <row r="40" spans="1:7" x14ac:dyDescent="0.35">
      <c r="F40" t="s">
        <v>318</v>
      </c>
      <c r="G40" s="1">
        <v>40</v>
      </c>
    </row>
    <row r="41" spans="1:7" x14ac:dyDescent="0.35">
      <c r="F41" t="s">
        <v>319</v>
      </c>
      <c r="G41" s="1">
        <v>41</v>
      </c>
    </row>
    <row r="42" spans="1:7" x14ac:dyDescent="0.35">
      <c r="F42" t="s">
        <v>320</v>
      </c>
      <c r="G42" s="1">
        <v>42</v>
      </c>
    </row>
    <row r="43" spans="1:7" x14ac:dyDescent="0.35">
      <c r="F43" t="s">
        <v>321</v>
      </c>
      <c r="G43" s="1">
        <v>43</v>
      </c>
    </row>
    <row r="44" spans="1:7" x14ac:dyDescent="0.35">
      <c r="F44" t="s">
        <v>322</v>
      </c>
      <c r="G44" s="1">
        <v>44</v>
      </c>
    </row>
    <row r="45" spans="1:7" x14ac:dyDescent="0.35">
      <c r="F45" t="s">
        <v>323</v>
      </c>
      <c r="G45" s="1">
        <v>45</v>
      </c>
    </row>
    <row r="46" spans="1:7" x14ac:dyDescent="0.35">
      <c r="F46" t="s">
        <v>324</v>
      </c>
      <c r="G46" s="1">
        <v>46</v>
      </c>
    </row>
    <row r="47" spans="1:7" x14ac:dyDescent="0.35">
      <c r="F47" t="s">
        <v>325</v>
      </c>
      <c r="G47" s="1">
        <v>47</v>
      </c>
    </row>
    <row r="48" spans="1:7" x14ac:dyDescent="0.35">
      <c r="F48" t="s">
        <v>326</v>
      </c>
      <c r="G48" s="1">
        <v>48</v>
      </c>
    </row>
    <row r="49" spans="6:7" x14ac:dyDescent="0.35">
      <c r="F49" t="s">
        <v>327</v>
      </c>
      <c r="G49" s="1">
        <v>49</v>
      </c>
    </row>
    <row r="50" spans="6:7" x14ac:dyDescent="0.35">
      <c r="F50" t="s">
        <v>328</v>
      </c>
      <c r="G50" s="1">
        <v>50</v>
      </c>
    </row>
    <row r="51" spans="6:7" x14ac:dyDescent="0.35">
      <c r="F51" t="s">
        <v>329</v>
      </c>
      <c r="G51" s="1">
        <v>51</v>
      </c>
    </row>
    <row r="52" spans="6:7" x14ac:dyDescent="0.35">
      <c r="F52" t="s">
        <v>330</v>
      </c>
      <c r="G52" s="1">
        <v>52</v>
      </c>
    </row>
    <row r="53" spans="6:7" x14ac:dyDescent="0.35">
      <c r="F53" t="s">
        <v>331</v>
      </c>
      <c r="G53" s="1">
        <v>53</v>
      </c>
    </row>
    <row r="54" spans="6:7" x14ac:dyDescent="0.35">
      <c r="F54" t="s">
        <v>332</v>
      </c>
      <c r="G54" s="1">
        <v>54</v>
      </c>
    </row>
    <row r="55" spans="6:7" x14ac:dyDescent="0.35">
      <c r="F55" t="s">
        <v>333</v>
      </c>
      <c r="G55" s="1">
        <v>55</v>
      </c>
    </row>
    <row r="56" spans="6:7" x14ac:dyDescent="0.35">
      <c r="F56" t="s">
        <v>334</v>
      </c>
      <c r="G56" s="1">
        <v>56</v>
      </c>
    </row>
    <row r="57" spans="6:7" x14ac:dyDescent="0.35">
      <c r="F57" t="s">
        <v>335</v>
      </c>
      <c r="G57" s="1">
        <v>57</v>
      </c>
    </row>
    <row r="58" spans="6:7" x14ac:dyDescent="0.35">
      <c r="F58" t="s">
        <v>85</v>
      </c>
      <c r="G58" s="1">
        <v>58</v>
      </c>
    </row>
    <row r="59" spans="6:7" x14ac:dyDescent="0.35">
      <c r="F59" t="s">
        <v>86</v>
      </c>
      <c r="G59" s="1">
        <v>59</v>
      </c>
    </row>
    <row r="60" spans="6:7" x14ac:dyDescent="0.35">
      <c r="F60" t="s">
        <v>87</v>
      </c>
      <c r="G60" s="1">
        <v>60</v>
      </c>
    </row>
    <row r="61" spans="6:7" x14ac:dyDescent="0.35">
      <c r="F61" t="s">
        <v>57</v>
      </c>
      <c r="G61" s="1">
        <v>61</v>
      </c>
    </row>
    <row r="62" spans="6:7" x14ac:dyDescent="0.35">
      <c r="F62" t="s">
        <v>59</v>
      </c>
      <c r="G62" s="1">
        <v>62</v>
      </c>
    </row>
    <row r="63" spans="6:7" x14ac:dyDescent="0.35">
      <c r="F63" t="s">
        <v>88</v>
      </c>
      <c r="G63" s="1">
        <v>63</v>
      </c>
    </row>
    <row r="64" spans="6:7" x14ac:dyDescent="0.35">
      <c r="F64" t="s">
        <v>89</v>
      </c>
      <c r="G64" s="1">
        <v>64</v>
      </c>
    </row>
    <row r="65" spans="6:7" x14ac:dyDescent="0.35">
      <c r="F65" t="s">
        <v>90</v>
      </c>
      <c r="G65" s="1">
        <v>65</v>
      </c>
    </row>
    <row r="66" spans="6:7" x14ac:dyDescent="0.35">
      <c r="F66" t="s">
        <v>62</v>
      </c>
      <c r="G66" s="1">
        <v>66</v>
      </c>
    </row>
    <row r="67" spans="6:7" x14ac:dyDescent="0.35">
      <c r="F67" t="s">
        <v>336</v>
      </c>
      <c r="G67" s="1">
        <v>67</v>
      </c>
    </row>
    <row r="68" spans="6:7" x14ac:dyDescent="0.35">
      <c r="F68" t="s">
        <v>92</v>
      </c>
      <c r="G68" s="1">
        <v>68</v>
      </c>
    </row>
    <row r="69" spans="6:7" x14ac:dyDescent="0.35">
      <c r="F69" t="s">
        <v>337</v>
      </c>
      <c r="G69" s="1">
        <v>69</v>
      </c>
    </row>
    <row r="70" spans="6:7" x14ac:dyDescent="0.35">
      <c r="F70" t="s">
        <v>338</v>
      </c>
      <c r="G70" s="1">
        <v>70</v>
      </c>
    </row>
    <row r="71" spans="6:7" x14ac:dyDescent="0.35">
      <c r="F71" t="s">
        <v>339</v>
      </c>
      <c r="G71" s="1">
        <v>71</v>
      </c>
    </row>
    <row r="72" spans="6:7" x14ac:dyDescent="0.35">
      <c r="F72" t="s">
        <v>340</v>
      </c>
      <c r="G72" s="1">
        <v>72</v>
      </c>
    </row>
    <row r="73" spans="6:7" x14ac:dyDescent="0.35">
      <c r="F73" t="s">
        <v>341</v>
      </c>
      <c r="G73" s="1">
        <v>73</v>
      </c>
    </row>
    <row r="74" spans="6:7" x14ac:dyDescent="0.35">
      <c r="F74" t="s">
        <v>342</v>
      </c>
      <c r="G74" s="1">
        <v>74</v>
      </c>
    </row>
    <row r="75" spans="6:7" x14ac:dyDescent="0.35">
      <c r="F75" t="s">
        <v>93</v>
      </c>
      <c r="G75" s="1">
        <v>75</v>
      </c>
    </row>
    <row r="76" spans="6:7" x14ac:dyDescent="0.35">
      <c r="F76" t="s">
        <v>107</v>
      </c>
      <c r="G76" s="1">
        <v>76</v>
      </c>
    </row>
    <row r="77" spans="6:7" x14ac:dyDescent="0.35">
      <c r="F77" t="s">
        <v>343</v>
      </c>
      <c r="G77" s="1">
        <v>77</v>
      </c>
    </row>
    <row r="78" spans="6:7" x14ac:dyDescent="0.35">
      <c r="F78" t="s">
        <v>344</v>
      </c>
      <c r="G78" s="1">
        <v>78</v>
      </c>
    </row>
    <row r="79" spans="6:7" x14ac:dyDescent="0.35">
      <c r="F79" t="s">
        <v>108</v>
      </c>
      <c r="G79" s="1">
        <v>79</v>
      </c>
    </row>
    <row r="80" spans="6:7" x14ac:dyDescent="0.35">
      <c r="F80" t="s">
        <v>64</v>
      </c>
      <c r="G80" s="1">
        <v>80</v>
      </c>
    </row>
    <row r="81" spans="6:7" x14ac:dyDescent="0.35">
      <c r="F81" t="s">
        <v>109</v>
      </c>
      <c r="G81" s="1">
        <v>81</v>
      </c>
    </row>
    <row r="82" spans="6:7" x14ac:dyDescent="0.35">
      <c r="F82" t="s">
        <v>94</v>
      </c>
      <c r="G82" s="1">
        <v>82</v>
      </c>
    </row>
    <row r="83" spans="6:7" x14ac:dyDescent="0.35">
      <c r="F83" t="s">
        <v>95</v>
      </c>
      <c r="G83" s="1">
        <v>83</v>
      </c>
    </row>
    <row r="84" spans="6:7" x14ac:dyDescent="0.35">
      <c r="F84" t="s">
        <v>117</v>
      </c>
      <c r="G84" s="1">
        <v>84</v>
      </c>
    </row>
    <row r="85" spans="6:7" x14ac:dyDescent="0.35">
      <c r="F85" t="s">
        <v>110</v>
      </c>
      <c r="G85" s="1">
        <v>85</v>
      </c>
    </row>
    <row r="86" spans="6:7" x14ac:dyDescent="0.35">
      <c r="F86" t="s">
        <v>112</v>
      </c>
      <c r="G86" s="1">
        <v>86</v>
      </c>
    </row>
    <row r="87" spans="6:7" x14ac:dyDescent="0.35">
      <c r="F87" t="s">
        <v>111</v>
      </c>
      <c r="G87" s="1">
        <v>87</v>
      </c>
    </row>
    <row r="88" spans="6:7" x14ac:dyDescent="0.35">
      <c r="F88" t="s">
        <v>114</v>
      </c>
      <c r="G88" s="1">
        <v>88</v>
      </c>
    </row>
    <row r="89" spans="6:7" x14ac:dyDescent="0.35">
      <c r="F89" t="s">
        <v>115</v>
      </c>
      <c r="G89" s="1">
        <v>89</v>
      </c>
    </row>
    <row r="90" spans="6:7" x14ac:dyDescent="0.35">
      <c r="F90" t="s">
        <v>345</v>
      </c>
      <c r="G90" s="1">
        <v>90</v>
      </c>
    </row>
    <row r="91" spans="6:7" x14ac:dyDescent="0.35">
      <c r="F91" t="s">
        <v>346</v>
      </c>
      <c r="G91" s="1">
        <v>91</v>
      </c>
    </row>
    <row r="92" spans="6:7" x14ac:dyDescent="0.35">
      <c r="F92" t="s">
        <v>347</v>
      </c>
      <c r="G92" s="1">
        <v>92</v>
      </c>
    </row>
    <row r="93" spans="6:7" x14ac:dyDescent="0.35">
      <c r="F93" t="s">
        <v>348</v>
      </c>
      <c r="G93" s="1">
        <v>93</v>
      </c>
    </row>
    <row r="94" spans="6:7" x14ac:dyDescent="0.35">
      <c r="G94" s="1">
        <v>94</v>
      </c>
    </row>
    <row r="95" spans="6:7" x14ac:dyDescent="0.35">
      <c r="G95" s="1">
        <v>95</v>
      </c>
    </row>
    <row r="96" spans="6:7" x14ac:dyDescent="0.35">
      <c r="G96" s="1">
        <v>96</v>
      </c>
    </row>
    <row r="97" spans="7:7" x14ac:dyDescent="0.35">
      <c r="G97" s="1">
        <v>97</v>
      </c>
    </row>
    <row r="98" spans="7:7" x14ac:dyDescent="0.35">
      <c r="G98" s="1">
        <v>98</v>
      </c>
    </row>
    <row r="99" spans="7:7" x14ac:dyDescent="0.35">
      <c r="G99" s="1">
        <v>99</v>
      </c>
    </row>
    <row r="100" spans="7:7" x14ac:dyDescent="0.35">
      <c r="G100" s="1">
        <v>100</v>
      </c>
    </row>
    <row r="101" spans="7:7" x14ac:dyDescent="0.35">
      <c r="G101" s="1">
        <v>101</v>
      </c>
    </row>
    <row r="102" spans="7:7" x14ac:dyDescent="0.35">
      <c r="G102" s="1">
        <v>102</v>
      </c>
    </row>
    <row r="103" spans="7:7" x14ac:dyDescent="0.35">
      <c r="G103" s="1">
        <v>103</v>
      </c>
    </row>
    <row r="104" spans="7:7" x14ac:dyDescent="0.35">
      <c r="G104" s="1">
        <v>104</v>
      </c>
    </row>
    <row r="105" spans="7:7" x14ac:dyDescent="0.35">
      <c r="G105" s="1">
        <v>105</v>
      </c>
    </row>
    <row r="106" spans="7:7" x14ac:dyDescent="0.35">
      <c r="G106" s="1">
        <v>106</v>
      </c>
    </row>
    <row r="107" spans="7:7" x14ac:dyDescent="0.35">
      <c r="G107" s="1">
        <v>107</v>
      </c>
    </row>
    <row r="108" spans="7:7" x14ac:dyDescent="0.35">
      <c r="G108" s="1">
        <v>108</v>
      </c>
    </row>
    <row r="109" spans="7:7" x14ac:dyDescent="0.35">
      <c r="G109" s="1">
        <v>109</v>
      </c>
    </row>
    <row r="111" spans="7:7" x14ac:dyDescent="0.35">
      <c r="G111" s="1"/>
    </row>
    <row r="112" spans="7:7" x14ac:dyDescent="0.35">
      <c r="G112" s="1"/>
    </row>
    <row r="113" spans="7:7" x14ac:dyDescent="0.35">
      <c r="G113" s="1"/>
    </row>
    <row r="114" spans="7:7" x14ac:dyDescent="0.35">
      <c r="G114" s="1"/>
    </row>
    <row r="115" spans="7:7" x14ac:dyDescent="0.35">
      <c r="G115" s="1"/>
    </row>
    <row r="116" spans="7:7" x14ac:dyDescent="0.35">
      <c r="G116" s="1"/>
    </row>
    <row r="117" spans="7:7" x14ac:dyDescent="0.35">
      <c r="G117" s="1"/>
    </row>
    <row r="118" spans="7:7" x14ac:dyDescent="0.35">
      <c r="G118" s="1"/>
    </row>
    <row r="119" spans="7:7" x14ac:dyDescent="0.35">
      <c r="G119" s="1"/>
    </row>
    <row r="120" spans="7:7" x14ac:dyDescent="0.35">
      <c r="G120" s="1"/>
    </row>
    <row r="121" spans="7:7" x14ac:dyDescent="0.35">
      <c r="G121" s="1"/>
    </row>
    <row r="122" spans="7:7" x14ac:dyDescent="0.35">
      <c r="G122" s="1"/>
    </row>
    <row r="123" spans="7:7" x14ac:dyDescent="0.35">
      <c r="G123" s="1"/>
    </row>
    <row r="124" spans="7:7" x14ac:dyDescent="0.35">
      <c r="G124" s="1"/>
    </row>
    <row r="125" spans="7:7" x14ac:dyDescent="0.35">
      <c r="G125" s="1"/>
    </row>
    <row r="126" spans="7:7" x14ac:dyDescent="0.35">
      <c r="G126" s="1"/>
    </row>
    <row r="127" spans="7:7" x14ac:dyDescent="0.35">
      <c r="G127" s="1"/>
    </row>
  </sheetData>
  <autoFilter ref="F1:G117" xr:uid="{0351455B-74F1-4986-851D-0567308C5CAD}"/>
  <conditionalFormatting sqref="F1">
    <cfRule type="duplicateValues" dxfId="37" priority="1"/>
  </conditionalFormatting>
  <pageMargins left="0.7" right="0.7" top="0.75" bottom="0.75" header="0.3" footer="0.3"/>
  <headerFooter>
    <oddFooter xml:space="preserve">&amp;L_x000D_&amp;1#&amp;"Calibri"&amp;10&amp;K000000 Classification: Western Union Unrestricted Internal </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4E088-BC6D-4345-9B89-09C6013FA66F}">
  <sheetPr codeName="Sheet4"/>
  <dimension ref="A2:AA18"/>
  <sheetViews>
    <sheetView topLeftCell="D1" zoomScale="79" zoomScaleNormal="79" workbookViewId="0">
      <selection activeCell="G6" sqref="G6:G18"/>
    </sheetView>
  </sheetViews>
  <sheetFormatPr defaultRowHeight="14.5" x14ac:dyDescent="0.35"/>
  <cols>
    <col min="1" max="1" width="22.08984375" customWidth="1"/>
    <col min="2" max="2" width="24.81640625" customWidth="1"/>
    <col min="3" max="3" width="22" customWidth="1"/>
    <col min="4" max="4" width="16" style="23" customWidth="1"/>
    <col min="5" max="5" width="19.81640625" style="24" bestFit="1" customWidth="1"/>
    <col min="6" max="6" width="20.90625" customWidth="1"/>
    <col min="7" max="7" width="31.90625" bestFit="1" customWidth="1"/>
    <col min="8" max="8" width="40.08984375" bestFit="1" customWidth="1"/>
    <col min="9" max="9" width="16.6328125" bestFit="1" customWidth="1"/>
    <col min="10" max="10" width="25.90625" customWidth="1"/>
    <col min="11" max="11" width="17.08984375" bestFit="1" customWidth="1"/>
    <col min="12" max="12" width="16.54296875" bestFit="1" customWidth="1"/>
    <col min="13" max="13" width="16.81640625" bestFit="1" customWidth="1"/>
    <col min="14" max="14" width="17.90625" bestFit="1" customWidth="1"/>
    <col min="15" max="15" width="21.36328125" bestFit="1" customWidth="1"/>
    <col min="16" max="16" width="16.90625" style="24" bestFit="1" customWidth="1"/>
    <col min="17" max="17" width="17.08984375" style="24" bestFit="1" customWidth="1"/>
    <col min="18" max="18" width="26.1796875" bestFit="1" customWidth="1"/>
    <col min="19" max="19" width="114" bestFit="1" customWidth="1"/>
    <col min="20" max="20" width="45.6328125" bestFit="1" customWidth="1"/>
    <col min="21" max="21" width="12.6328125" bestFit="1" customWidth="1"/>
    <col min="22" max="22" width="47.453125" customWidth="1"/>
    <col min="23" max="23" width="53" customWidth="1"/>
    <col min="24" max="24" width="14.453125" bestFit="1" customWidth="1"/>
    <col min="25" max="25" width="23.453125" bestFit="1" customWidth="1"/>
    <col min="27" max="27" width="19.6328125" customWidth="1"/>
  </cols>
  <sheetData>
    <row r="2" spans="1:27" x14ac:dyDescent="0.35">
      <c r="F2" s="47" t="s">
        <v>366</v>
      </c>
      <c r="G2" s="47"/>
      <c r="H2" s="47"/>
    </row>
    <row r="3" spans="1:27" x14ac:dyDescent="0.35">
      <c r="F3" s="47"/>
      <c r="G3" s="47"/>
      <c r="H3" s="47"/>
    </row>
    <row r="5" spans="1:27" x14ac:dyDescent="0.35">
      <c r="A5" s="10" t="s">
        <v>0</v>
      </c>
      <c r="B5" s="11" t="s">
        <v>1</v>
      </c>
      <c r="C5" s="11" t="s">
        <v>2</v>
      </c>
      <c r="D5" s="12" t="s">
        <v>3</v>
      </c>
      <c r="E5" s="13" t="s">
        <v>4</v>
      </c>
      <c r="F5" s="14" t="s">
        <v>5</v>
      </c>
      <c r="G5" s="15" t="s">
        <v>6</v>
      </c>
      <c r="H5" s="16" t="s">
        <v>7</v>
      </c>
      <c r="I5" s="15" t="s">
        <v>8</v>
      </c>
      <c r="J5" s="15" t="s">
        <v>9</v>
      </c>
      <c r="K5" s="17" t="s">
        <v>10</v>
      </c>
      <c r="L5" s="17" t="s">
        <v>11</v>
      </c>
      <c r="M5" s="18" t="s">
        <v>349</v>
      </c>
      <c r="N5" s="19" t="s">
        <v>350</v>
      </c>
      <c r="O5" s="19" t="s">
        <v>351</v>
      </c>
      <c r="P5" s="13" t="s">
        <v>352</v>
      </c>
      <c r="Q5" s="13" t="s">
        <v>353</v>
      </c>
      <c r="R5" s="20" t="s">
        <v>354</v>
      </c>
      <c r="S5" s="21" t="s">
        <v>355</v>
      </c>
      <c r="T5" s="19" t="s">
        <v>356</v>
      </c>
      <c r="U5" s="19" t="s">
        <v>357</v>
      </c>
      <c r="V5" s="21" t="s">
        <v>358</v>
      </c>
      <c r="W5" s="21" t="s">
        <v>359</v>
      </c>
      <c r="X5" s="19" t="s">
        <v>12</v>
      </c>
      <c r="Y5" s="22" t="s">
        <v>13</v>
      </c>
    </row>
    <row r="6" spans="1:27" x14ac:dyDescent="0.35">
      <c r="A6" s="40"/>
      <c r="B6" s="3" t="s">
        <v>369</v>
      </c>
      <c r="C6" s="3" t="s">
        <v>45</v>
      </c>
      <c r="D6" s="41">
        <v>12389275</v>
      </c>
      <c r="E6" s="2" t="str">
        <f>IFERROR(IF(VLOOKUP($D6,'Raw Data'!$B:$CQ,VLOOKUP('SWB CaseList'!E$5,'SWB-Lists'!$A:$C,3,0),0)=0,"NA",VLOOKUP($D6,'Raw Data'!$B:$CQ,VLOOKUP('SWB CaseList'!E$5,'SWB-Lists'!$A:$C,3,0),0)),"NA")</f>
        <v>NA</v>
      </c>
      <c r="F6" s="42" t="s">
        <v>46</v>
      </c>
      <c r="G6" s="33" t="str">
        <f>IFERROR(IF(VLOOKUP($D6,'Raw Data'!$B:$CQ,VLOOKUP('SWB CaseList'!G$5,'SWB-Lists'!$A:$C,3,0),0)=0,"NA",VLOOKUP($D6,'Raw Data'!$B:$CQ,VLOOKUP('SWB CaseList'!G$5,'SWB-Lists'!$A:$C,3,0),0)),"NA")</f>
        <v>NA</v>
      </c>
      <c r="H6" s="33" t="str">
        <f>IFERROR(IF(VLOOKUP($D6,'Raw Data'!$B:$CQ,VLOOKUP('SWB CaseList'!H$5,'SWB-Lists'!$A:$C,3,0),0)=0,"NA",VLOOKUP($D6,'Raw Data'!$B:$CQ,VLOOKUP('SWB CaseList'!H$5,'SWB-Lists'!$A:$C,3,0),0)),"NA")</f>
        <v>NA</v>
      </c>
      <c r="I6" s="33" t="str">
        <f>IFERROR(IF(VLOOKUP($D6,'Raw Data'!$B:$CQ,VLOOKUP('SWB CaseList'!I$5,'SWB-Lists'!$A:$C,3,0),0)=0,"NA",VLOOKUP($D6,'Raw Data'!$B:$CQ,VLOOKUP('SWB CaseList'!I$5,'SWB-Lists'!$A:$C,3,0),0)),"NA")</f>
        <v>NA</v>
      </c>
      <c r="J6" s="33" t="str">
        <f>IFERROR(IF(VLOOKUP($D6,'Raw Data'!$B:$CQ,VLOOKUP('SWB CaseList'!J$5,'SWB-Lists'!$A:$C,3,0),0)=0,"NA",VLOOKUP($D6,'Raw Data'!$B:$CQ,VLOOKUP('SWB CaseList'!J$5,'SWB-Lists'!$A:$C,3,0),0)),"NA")</f>
        <v>NA</v>
      </c>
      <c r="K6" s="33" t="str">
        <f>IFERROR(IF(VLOOKUP($D6,'Raw Data'!$B:$CQ,VLOOKUP('SWB CaseList'!K$5,'SWB-Lists'!$A:$C,3,0),0)=0,"NA",VLOOKUP($D6,'Raw Data'!$B:$CQ,VLOOKUP('SWB CaseList'!K$5,'SWB-Lists'!$A:$C,3,0),0)),"NA")</f>
        <v>NA</v>
      </c>
      <c r="L6" s="33" t="str">
        <f>IFERROR(IF(VLOOKUP($D6,'Raw Data'!$B:$CQ,VLOOKUP('SWB CaseList'!L$5,'SWB-Lists'!$A:$C,3,0),0)=0,"NA",VLOOKUP($D6,'Raw Data'!$B:$CQ,VLOOKUP('SWB CaseList'!L$5,'SWB-Lists'!$A:$C,3,0),0)),"NA")</f>
        <v>NA</v>
      </c>
      <c r="M6" s="33" t="str">
        <f>IFERROR(IF(VLOOKUP($D6,'Raw Data'!$B:$CQ,VLOOKUP('SWB CaseList'!M$5,'SWB-Lists'!$A:$C,3,0),0)=0,"NA",VLOOKUP($D6,'Raw Data'!$B:$CQ,VLOOKUP('SWB CaseList'!M$5,'SWB-Lists'!$A:$C,3,0),0)),"NA")</f>
        <v>NA</v>
      </c>
      <c r="N6" s="43" t="str">
        <f>IFERROR(IF(VLOOKUP($D6,'Raw Data'!$B:$CQ,VLOOKUP('SWB CaseList'!N$5,'SWB-Lists'!$A:$C,3,0),0)=0,"NA",VLOOKUP($D6,'Raw Data'!$B:$CQ,VLOOKUP('SWB CaseList'!N$5,'SWB-Lists'!$A:$C,3,0),0)),"NA")</f>
        <v>NA</v>
      </c>
      <c r="O6" s="44" t="str">
        <f>IFERROR(IF(VLOOKUP($D6,'Raw Data'!$B:$CQ,VLOOKUP('SWB CaseList'!O$5,'SWB-Lists'!$A:$C,3,0),0)=0,"NA",VLOOKUP($D6,'Raw Data'!$B:$CQ,VLOOKUP('SWB CaseList'!O$5,'SWB-Lists'!$A:$C,3,0),0)),"NA")</f>
        <v>NA</v>
      </c>
      <c r="P6" s="45" t="str">
        <f>IFERROR(IF(VLOOKUP($D6,'Raw Data'!$B:$CQ,VLOOKUP('SWB CaseList'!P$5,'SWB-Lists'!$A:$C,3,0),0)=0,"NA",VLOOKUP($D6,'Raw Data'!$B:$CQ,VLOOKUP('SWB CaseList'!P$5,'SWB-Lists'!$A:$C,3,0),0)),"NA")</f>
        <v>NA</v>
      </c>
      <c r="Q6" s="33" t="str">
        <f>IFERROR(IF(VLOOKUP($D6,'Raw Data'!$B:$CQ,VLOOKUP('SWB CaseList'!Q$5,'SWB-Lists'!$A:$C,3,0),0)=0,"NA",VLOOKUP($D6,'Raw Data'!$B:$CQ,VLOOKUP('SWB CaseList'!Q$5,'SWB-Lists'!$A:$C,3,0),0)),"NA")</f>
        <v>NA</v>
      </c>
      <c r="R6" s="33" t="str">
        <f>IFERROR(IF(VLOOKUP($D6,'Raw Data'!$B:$CQ,VLOOKUP('SWB CaseList'!R$5,'SWB-Lists'!$A:$C,3,0),0)=0,"NA",VLOOKUP($D6,'Raw Data'!$B:$CQ,VLOOKUP('SWB CaseList'!R$5,'SWB-Lists'!$A:$C,3,0),0)),"NA")</f>
        <v>NA</v>
      </c>
      <c r="S6" s="33" t="str">
        <f>IFERROR(IF(VLOOKUP($D6,'Raw Data'!$B:$CQ,VLOOKUP('SWB CaseList'!S$5,'SWB-Lists'!$A:$C,3,0),0)=0,"NA",VLOOKUP($D6,'Raw Data'!$B:$CQ,VLOOKUP('SWB CaseList'!S$5,'SWB-Lists'!$A:$C,3,0),0)),"NA")</f>
        <v>NA</v>
      </c>
      <c r="T6" s="33" t="str">
        <f>IFERROR(IF(VLOOKUP($D6,'Raw Data'!$B:$CQ,VLOOKUP('SWB CaseList'!T$5,'SWB-Lists'!$A:$C,3,0),0)=0,"NA",VLOOKUP($D6,'Raw Data'!$B:$CQ,VLOOKUP('SWB CaseList'!T$5,'SWB-Lists'!$A:$C,3,0),0)),"NA")</f>
        <v>NA</v>
      </c>
      <c r="U6" s="33" t="str">
        <f>IFERROR(IF(VLOOKUP($D6,'Raw Data'!$B:$CQ,VLOOKUP('SWB CaseList'!U$5,'SWB-Lists'!$A:$C,3,0),0)=0,"NA",VLOOKUP($D6,'Raw Data'!$B:$CQ,VLOOKUP('SWB CaseList'!U$5,'SWB-Lists'!$A:$C,3,0),0)),"NA")</f>
        <v>NA</v>
      </c>
      <c r="V6" s="33" t="str">
        <f>IFERROR(IF(VLOOKUP($D6,'Raw Data'!$B:$CQ,VLOOKUP('SWB CaseList'!V$5,'SWB-Lists'!$A:$C,3,0),0)=0,"NA",VLOOKUP($D6,'Raw Data'!$B:$CQ,VLOOKUP('SWB CaseList'!V$5,'SWB-Lists'!$A:$C,3,0),0)),"NA")</f>
        <v>NA</v>
      </c>
      <c r="W6" s="33" t="str">
        <f>IFERROR(IF(VLOOKUP($D6,'Raw Data'!$B:$CQ,VLOOKUP('SWB CaseList'!W$5,'SWB-Lists'!$A:$C,3,0),0)=0,"NA",VLOOKUP($D6,'Raw Data'!$B:$CQ,VLOOKUP('SWB CaseList'!W$5,'SWB-Lists'!$A:$C,3,0),0)),"NA")</f>
        <v>NA</v>
      </c>
      <c r="X6" s="33" t="str">
        <f>IFERROR(IF(VLOOKUP($D6,'Raw Data'!$B:$CQ,VLOOKUP('SWB CaseList'!X$5,'SWB-Lists'!$A:$C,3,0),0)=0,"NA",VLOOKUP($D6,'Raw Data'!$B:$CQ,VLOOKUP('SWB CaseList'!X$5,'SWB-Lists'!$A:$C,3,0),0)),"NA")</f>
        <v>NA</v>
      </c>
      <c r="Y6" s="33" t="str">
        <f>IFERROR(IF(VLOOKUP($D6,'Raw Data'!$B:$CQ,VLOOKUP('SWB CaseList'!Y$5,'SWB-Lists'!$A:$C,3,0),0)=0,"NA",VLOOKUP($D6,'Raw Data'!$B:$CQ,VLOOKUP('SWB CaseList'!Y$5,'SWB-Lists'!$A:$C,3,0),0)),"NA")</f>
        <v>NA</v>
      </c>
      <c r="AA6" s="8">
        <v>10000001526469</v>
      </c>
    </row>
    <row r="7" spans="1:27" x14ac:dyDescent="0.35">
      <c r="A7" s="40"/>
      <c r="B7" s="3" t="s">
        <v>369</v>
      </c>
      <c r="C7" s="3" t="s">
        <v>45</v>
      </c>
      <c r="D7" s="41">
        <v>12389278</v>
      </c>
      <c r="E7" s="2" t="str">
        <f>IFERROR(IF(VLOOKUP($D7,'Raw Data'!$B:$CQ,VLOOKUP('SWB CaseList'!E$5,'SWB-Lists'!$A:$C,3,0),0)=0,"NA",VLOOKUP($D7,'Raw Data'!$B:$CQ,VLOOKUP('SWB CaseList'!E$5,'SWB-Lists'!$A:$C,3,0),0)),"NA")</f>
        <v>NA</v>
      </c>
      <c r="F7" s="42" t="s">
        <v>46</v>
      </c>
      <c r="G7" s="33" t="str">
        <f>IFERROR(IF(VLOOKUP($D7,'Raw Data'!$B:$CQ,VLOOKUP('SWB CaseList'!G$5,'SWB-Lists'!$A:$C,3,0),0)=0,"NA",VLOOKUP($D7,'Raw Data'!$B:$CQ,VLOOKUP('SWB CaseList'!G$5,'SWB-Lists'!$A:$C,3,0),0)),"NA")</f>
        <v>NA</v>
      </c>
      <c r="H7" s="33" t="str">
        <f>IFERROR(IF(VLOOKUP($D7,'Raw Data'!$B:$CQ,VLOOKUP('SWB CaseList'!H$5,'SWB-Lists'!$A:$C,3,0),0)=0,"NA",VLOOKUP($D7,'Raw Data'!$B:$CQ,VLOOKUP('SWB CaseList'!H$5,'SWB-Lists'!$A:$C,3,0),0)),"NA")</f>
        <v>NA</v>
      </c>
      <c r="I7" s="33" t="str">
        <f>IFERROR(IF(VLOOKUP($D7,'Raw Data'!$B:$CQ,VLOOKUP('SWB CaseList'!I$5,'SWB-Lists'!$A:$C,3,0),0)=0,"NA",VLOOKUP($D7,'Raw Data'!$B:$CQ,VLOOKUP('SWB CaseList'!I$5,'SWB-Lists'!$A:$C,3,0),0)),"NA")</f>
        <v>NA</v>
      </c>
      <c r="J7" s="33" t="str">
        <f>IFERROR(IF(VLOOKUP($D7,'Raw Data'!$B:$CQ,VLOOKUP('SWB CaseList'!J$5,'SWB-Lists'!$A:$C,3,0),0)=0,"NA",VLOOKUP($D7,'Raw Data'!$B:$CQ,VLOOKUP('SWB CaseList'!J$5,'SWB-Lists'!$A:$C,3,0),0)),"NA")</f>
        <v>NA</v>
      </c>
      <c r="K7" s="33" t="str">
        <f>IFERROR(IF(VLOOKUP($D7,'Raw Data'!$B:$CQ,VLOOKUP('SWB CaseList'!K$5,'SWB-Lists'!$A:$C,3,0),0)=0,"NA",VLOOKUP($D7,'Raw Data'!$B:$CQ,VLOOKUP('SWB CaseList'!K$5,'SWB-Lists'!$A:$C,3,0),0)),"NA")</f>
        <v>NA</v>
      </c>
      <c r="L7" s="33" t="str">
        <f>IFERROR(IF(VLOOKUP($D7,'Raw Data'!$B:$CQ,VLOOKUP('SWB CaseList'!L$5,'SWB-Lists'!$A:$C,3,0),0)=0,"NA",VLOOKUP($D7,'Raw Data'!$B:$CQ,VLOOKUP('SWB CaseList'!L$5,'SWB-Lists'!$A:$C,3,0),0)),"NA")</f>
        <v>NA</v>
      </c>
      <c r="M7" s="33" t="str">
        <f>IFERROR(IF(VLOOKUP($D7,'Raw Data'!$B:$CQ,VLOOKUP('SWB CaseList'!M$5,'SWB-Lists'!$A:$C,3,0),0)=0,"NA",VLOOKUP($D7,'Raw Data'!$B:$CQ,VLOOKUP('SWB CaseList'!M$5,'SWB-Lists'!$A:$C,3,0),0)),"NA")</f>
        <v>NA</v>
      </c>
      <c r="N7" s="43" t="str">
        <f>IFERROR(IF(VLOOKUP($D7,'Raw Data'!$B:$CQ,VLOOKUP('SWB CaseList'!N$5,'SWB-Lists'!$A:$C,3,0),0)=0,"NA",VLOOKUP($D7,'Raw Data'!$B:$CQ,VLOOKUP('SWB CaseList'!N$5,'SWB-Lists'!$A:$C,3,0),0)),"NA")</f>
        <v>NA</v>
      </c>
      <c r="O7" s="44" t="str">
        <f>IFERROR(IF(VLOOKUP($D7,'Raw Data'!$B:$CQ,VLOOKUP('SWB CaseList'!O$5,'SWB-Lists'!$A:$C,3,0),0)=0,"NA",VLOOKUP($D7,'Raw Data'!$B:$CQ,VLOOKUP('SWB CaseList'!O$5,'SWB-Lists'!$A:$C,3,0),0)),"NA")</f>
        <v>NA</v>
      </c>
      <c r="P7" s="45" t="str">
        <f>IFERROR(IF(VLOOKUP($D7,'Raw Data'!$B:$CQ,VLOOKUP('SWB CaseList'!P$5,'SWB-Lists'!$A:$C,3,0),0)=0,"NA",VLOOKUP($D7,'Raw Data'!$B:$CQ,VLOOKUP('SWB CaseList'!P$5,'SWB-Lists'!$A:$C,3,0),0)),"NA")</f>
        <v>NA</v>
      </c>
      <c r="Q7" s="33" t="str">
        <f>IFERROR(IF(VLOOKUP($D7,'Raw Data'!$B:$CQ,VLOOKUP('SWB CaseList'!Q$5,'SWB-Lists'!$A:$C,3,0),0)=0,"NA",VLOOKUP($D7,'Raw Data'!$B:$CQ,VLOOKUP('SWB CaseList'!Q$5,'SWB-Lists'!$A:$C,3,0),0)),"NA")</f>
        <v>NA</v>
      </c>
      <c r="R7" s="33" t="str">
        <f>IFERROR(IF(VLOOKUP($D7,'Raw Data'!$B:$CQ,VLOOKUP('SWB CaseList'!R$5,'SWB-Lists'!$A:$C,3,0),0)=0,"NA",VLOOKUP($D7,'Raw Data'!$B:$CQ,VLOOKUP('SWB CaseList'!R$5,'SWB-Lists'!$A:$C,3,0),0)),"NA")</f>
        <v>NA</v>
      </c>
      <c r="S7" s="33" t="str">
        <f>IFERROR(IF(VLOOKUP($D7,'Raw Data'!$B:$CQ,VLOOKUP('SWB CaseList'!S$5,'SWB-Lists'!$A:$C,3,0),0)=0,"NA",VLOOKUP($D7,'Raw Data'!$B:$CQ,VLOOKUP('SWB CaseList'!S$5,'SWB-Lists'!$A:$C,3,0),0)),"NA")</f>
        <v>NA</v>
      </c>
      <c r="T7" s="33" t="str">
        <f>IFERROR(IF(VLOOKUP($D7,'Raw Data'!$B:$CQ,VLOOKUP('SWB CaseList'!T$5,'SWB-Lists'!$A:$C,3,0),0)=0,"NA",VLOOKUP($D7,'Raw Data'!$B:$CQ,VLOOKUP('SWB CaseList'!T$5,'SWB-Lists'!$A:$C,3,0),0)),"NA")</f>
        <v>NA</v>
      </c>
      <c r="U7" s="33" t="str">
        <f>IFERROR(IF(VLOOKUP($D7,'Raw Data'!$B:$CQ,VLOOKUP('SWB CaseList'!U$5,'SWB-Lists'!$A:$C,3,0),0)=0,"NA",VLOOKUP($D7,'Raw Data'!$B:$CQ,VLOOKUP('SWB CaseList'!U$5,'SWB-Lists'!$A:$C,3,0),0)),"NA")</f>
        <v>NA</v>
      </c>
      <c r="V7" s="33" t="str">
        <f>IFERROR(IF(VLOOKUP($D7,'Raw Data'!$B:$CQ,VLOOKUP('SWB CaseList'!V$5,'SWB-Lists'!$A:$C,3,0),0)=0,"NA",VLOOKUP($D7,'Raw Data'!$B:$CQ,VLOOKUP('SWB CaseList'!V$5,'SWB-Lists'!$A:$C,3,0),0)),"NA")</f>
        <v>NA</v>
      </c>
      <c r="W7" s="33" t="str">
        <f>IFERROR(IF(VLOOKUP($D7,'Raw Data'!$B:$CQ,VLOOKUP('SWB CaseList'!W$5,'SWB-Lists'!$A:$C,3,0),0)=0,"NA",VLOOKUP($D7,'Raw Data'!$B:$CQ,VLOOKUP('SWB CaseList'!W$5,'SWB-Lists'!$A:$C,3,0),0)),"NA")</f>
        <v>NA</v>
      </c>
      <c r="X7" s="33" t="str">
        <f>IFERROR(IF(VLOOKUP($D7,'Raw Data'!$B:$CQ,VLOOKUP('SWB CaseList'!X$5,'SWB-Lists'!$A:$C,3,0),0)=0,"NA",VLOOKUP($D7,'Raw Data'!$B:$CQ,VLOOKUP('SWB CaseList'!X$5,'SWB-Lists'!$A:$C,3,0),0)),"NA")</f>
        <v>NA</v>
      </c>
      <c r="Y7" s="33" t="str">
        <f>IFERROR(IF(VLOOKUP($D7,'Raw Data'!$B:$CQ,VLOOKUP('SWB CaseList'!Y$5,'SWB-Lists'!$A:$C,3,0),0)=0,"NA",VLOOKUP($D7,'Raw Data'!$B:$CQ,VLOOKUP('SWB CaseList'!Y$5,'SWB-Lists'!$A:$C,3,0),0)),"NA")</f>
        <v>NA</v>
      </c>
      <c r="AA7" s="8">
        <v>10000000621030</v>
      </c>
    </row>
    <row r="8" spans="1:27" x14ac:dyDescent="0.35">
      <c r="A8" s="40"/>
      <c r="B8" s="3" t="s">
        <v>369</v>
      </c>
      <c r="C8" s="3" t="s">
        <v>45</v>
      </c>
      <c r="D8" s="41">
        <v>12389274</v>
      </c>
      <c r="E8" s="2" t="str">
        <f>IFERROR(IF(VLOOKUP($D8,'Raw Data'!$B:$CQ,VLOOKUP('SWB CaseList'!E$5,'SWB-Lists'!$A:$C,3,0),0)=0,"NA",VLOOKUP($D8,'Raw Data'!$B:$CQ,VLOOKUP('SWB CaseList'!E$5,'SWB-Lists'!$A:$C,3,0),0)),"NA")</f>
        <v>NA</v>
      </c>
      <c r="F8" s="42" t="s">
        <v>46</v>
      </c>
      <c r="G8" s="33" t="str">
        <f>IFERROR(IF(VLOOKUP($D8,'Raw Data'!$B:$CQ,VLOOKUP('SWB CaseList'!G$5,'SWB-Lists'!$A:$C,3,0),0)=0,"NA",VLOOKUP($D8,'Raw Data'!$B:$CQ,VLOOKUP('SWB CaseList'!G$5,'SWB-Lists'!$A:$C,3,0),0)),"NA")</f>
        <v>NA</v>
      </c>
      <c r="H8" s="33" t="str">
        <f>IFERROR(IF(VLOOKUP($D8,'Raw Data'!$B:$CQ,VLOOKUP('SWB CaseList'!H$5,'SWB-Lists'!$A:$C,3,0),0)=0,"NA",VLOOKUP($D8,'Raw Data'!$B:$CQ,VLOOKUP('SWB CaseList'!H$5,'SWB-Lists'!$A:$C,3,0),0)),"NA")</f>
        <v>NA</v>
      </c>
      <c r="I8" s="33" t="str">
        <f>IFERROR(IF(VLOOKUP($D8,'Raw Data'!$B:$CQ,VLOOKUP('SWB CaseList'!I$5,'SWB-Lists'!$A:$C,3,0),0)=0,"NA",VLOOKUP($D8,'Raw Data'!$B:$CQ,VLOOKUP('SWB CaseList'!I$5,'SWB-Lists'!$A:$C,3,0),0)),"NA")</f>
        <v>NA</v>
      </c>
      <c r="J8" s="33" t="str">
        <f>IFERROR(IF(VLOOKUP($D8,'Raw Data'!$B:$CQ,VLOOKUP('SWB CaseList'!J$5,'SWB-Lists'!$A:$C,3,0),0)=0,"NA",VLOOKUP($D8,'Raw Data'!$B:$CQ,VLOOKUP('SWB CaseList'!J$5,'SWB-Lists'!$A:$C,3,0),0)),"NA")</f>
        <v>NA</v>
      </c>
      <c r="K8" s="33" t="str">
        <f>IFERROR(IF(VLOOKUP($D8,'Raw Data'!$B:$CQ,VLOOKUP('SWB CaseList'!K$5,'SWB-Lists'!$A:$C,3,0),0)=0,"NA",VLOOKUP($D8,'Raw Data'!$B:$CQ,VLOOKUP('SWB CaseList'!K$5,'SWB-Lists'!$A:$C,3,0),0)),"NA")</f>
        <v>NA</v>
      </c>
      <c r="L8" s="33" t="str">
        <f>IFERROR(IF(VLOOKUP($D8,'Raw Data'!$B:$CQ,VLOOKUP('SWB CaseList'!L$5,'SWB-Lists'!$A:$C,3,0),0)=0,"NA",VLOOKUP($D8,'Raw Data'!$B:$CQ,VLOOKUP('SWB CaseList'!L$5,'SWB-Lists'!$A:$C,3,0),0)),"NA")</f>
        <v>NA</v>
      </c>
      <c r="M8" s="33" t="str">
        <f>IFERROR(IF(VLOOKUP($D8,'Raw Data'!$B:$CQ,VLOOKUP('SWB CaseList'!M$5,'SWB-Lists'!$A:$C,3,0),0)=0,"NA",VLOOKUP($D8,'Raw Data'!$B:$CQ,VLOOKUP('SWB CaseList'!M$5,'SWB-Lists'!$A:$C,3,0),0)),"NA")</f>
        <v>NA</v>
      </c>
      <c r="N8" s="43" t="str">
        <f>IFERROR(IF(VLOOKUP($D8,'Raw Data'!$B:$CQ,VLOOKUP('SWB CaseList'!N$5,'SWB-Lists'!$A:$C,3,0),0)=0,"NA",VLOOKUP($D8,'Raw Data'!$B:$CQ,VLOOKUP('SWB CaseList'!N$5,'SWB-Lists'!$A:$C,3,0),0)),"NA")</f>
        <v>NA</v>
      </c>
      <c r="O8" s="44" t="str">
        <f>IFERROR(IF(VLOOKUP($D8,'Raw Data'!$B:$CQ,VLOOKUP('SWB CaseList'!O$5,'SWB-Lists'!$A:$C,3,0),0)=0,"NA",VLOOKUP($D8,'Raw Data'!$B:$CQ,VLOOKUP('SWB CaseList'!O$5,'SWB-Lists'!$A:$C,3,0),0)),"NA")</f>
        <v>NA</v>
      </c>
      <c r="P8" s="45" t="str">
        <f>IFERROR(IF(VLOOKUP($D8,'Raw Data'!$B:$CQ,VLOOKUP('SWB CaseList'!P$5,'SWB-Lists'!$A:$C,3,0),0)=0,"NA",VLOOKUP($D8,'Raw Data'!$B:$CQ,VLOOKUP('SWB CaseList'!P$5,'SWB-Lists'!$A:$C,3,0),0)),"NA")</f>
        <v>NA</v>
      </c>
      <c r="Q8" s="33" t="str">
        <f>IFERROR(IF(VLOOKUP($D8,'Raw Data'!$B:$CQ,VLOOKUP('SWB CaseList'!Q$5,'SWB-Lists'!$A:$C,3,0),0)=0,"NA",VLOOKUP($D8,'Raw Data'!$B:$CQ,VLOOKUP('SWB CaseList'!Q$5,'SWB-Lists'!$A:$C,3,0),0)),"NA")</f>
        <v>NA</v>
      </c>
      <c r="R8" s="33" t="str">
        <f>IFERROR(IF(VLOOKUP($D8,'Raw Data'!$B:$CQ,VLOOKUP('SWB CaseList'!R$5,'SWB-Lists'!$A:$C,3,0),0)=0,"NA",VLOOKUP($D8,'Raw Data'!$B:$CQ,VLOOKUP('SWB CaseList'!R$5,'SWB-Lists'!$A:$C,3,0),0)),"NA")</f>
        <v>NA</v>
      </c>
      <c r="S8" s="33" t="str">
        <f>IFERROR(IF(VLOOKUP($D8,'Raw Data'!$B:$CQ,VLOOKUP('SWB CaseList'!S$5,'SWB-Lists'!$A:$C,3,0),0)=0,"NA",VLOOKUP($D8,'Raw Data'!$B:$CQ,VLOOKUP('SWB CaseList'!S$5,'SWB-Lists'!$A:$C,3,0),0)),"NA")</f>
        <v>NA</v>
      </c>
      <c r="T8" s="33" t="str">
        <f>IFERROR(IF(VLOOKUP($D8,'Raw Data'!$B:$CQ,VLOOKUP('SWB CaseList'!T$5,'SWB-Lists'!$A:$C,3,0),0)=0,"NA",VLOOKUP($D8,'Raw Data'!$B:$CQ,VLOOKUP('SWB CaseList'!T$5,'SWB-Lists'!$A:$C,3,0),0)),"NA")</f>
        <v>NA</v>
      </c>
      <c r="U8" s="33" t="str">
        <f>IFERROR(IF(VLOOKUP($D8,'Raw Data'!$B:$CQ,VLOOKUP('SWB CaseList'!U$5,'SWB-Lists'!$A:$C,3,0),0)=0,"NA",VLOOKUP($D8,'Raw Data'!$B:$CQ,VLOOKUP('SWB CaseList'!U$5,'SWB-Lists'!$A:$C,3,0),0)),"NA")</f>
        <v>NA</v>
      </c>
      <c r="V8" s="33" t="str">
        <f>IFERROR(IF(VLOOKUP($D8,'Raw Data'!$B:$CQ,VLOOKUP('SWB CaseList'!V$5,'SWB-Lists'!$A:$C,3,0),0)=0,"NA",VLOOKUP($D8,'Raw Data'!$B:$CQ,VLOOKUP('SWB CaseList'!V$5,'SWB-Lists'!$A:$C,3,0),0)),"NA")</f>
        <v>NA</v>
      </c>
      <c r="W8" s="33" t="str">
        <f>IFERROR(IF(VLOOKUP($D8,'Raw Data'!$B:$CQ,VLOOKUP('SWB CaseList'!W$5,'SWB-Lists'!$A:$C,3,0),0)=0,"NA",VLOOKUP($D8,'Raw Data'!$B:$CQ,VLOOKUP('SWB CaseList'!W$5,'SWB-Lists'!$A:$C,3,0),0)),"NA")</f>
        <v>NA</v>
      </c>
      <c r="X8" s="33" t="str">
        <f>IFERROR(IF(VLOOKUP($D8,'Raw Data'!$B:$CQ,VLOOKUP('SWB CaseList'!X$5,'SWB-Lists'!$A:$C,3,0),0)=0,"NA",VLOOKUP($D8,'Raw Data'!$B:$CQ,VLOOKUP('SWB CaseList'!X$5,'SWB-Lists'!$A:$C,3,0),0)),"NA")</f>
        <v>NA</v>
      </c>
      <c r="Y8" s="33" t="str">
        <f>IFERROR(IF(VLOOKUP($D8,'Raw Data'!$B:$CQ,VLOOKUP('SWB CaseList'!Y$5,'SWB-Lists'!$A:$C,3,0),0)=0,"NA",VLOOKUP($D8,'Raw Data'!$B:$CQ,VLOOKUP('SWB CaseList'!Y$5,'SWB-Lists'!$A:$C,3,0),0)),"NA")</f>
        <v>NA</v>
      </c>
      <c r="AA8" s="8">
        <v>10000001323417</v>
      </c>
    </row>
    <row r="9" spans="1:27" x14ac:dyDescent="0.35">
      <c r="A9" s="40"/>
      <c r="B9" s="3" t="s">
        <v>369</v>
      </c>
      <c r="C9" s="3" t="s">
        <v>45</v>
      </c>
      <c r="D9" s="41">
        <v>12389279</v>
      </c>
      <c r="E9" s="2" t="str">
        <f>IFERROR(IF(VLOOKUP($D9,'Raw Data'!$B:$CQ,VLOOKUP('SWB CaseList'!E$5,'SWB-Lists'!$A:$C,3,0),0)=0,"NA",VLOOKUP($D9,'Raw Data'!$B:$CQ,VLOOKUP('SWB CaseList'!E$5,'SWB-Lists'!$A:$C,3,0),0)),"NA")</f>
        <v>NA</v>
      </c>
      <c r="F9" s="42" t="s">
        <v>46</v>
      </c>
      <c r="G9" s="33" t="str">
        <f>IFERROR(IF(VLOOKUP($D9,'Raw Data'!$B:$CQ,VLOOKUP('SWB CaseList'!G$5,'SWB-Lists'!$A:$C,3,0),0)=0,"NA",VLOOKUP($D9,'Raw Data'!$B:$CQ,VLOOKUP('SWB CaseList'!G$5,'SWB-Lists'!$A:$C,3,0),0)),"NA")</f>
        <v>NA</v>
      </c>
      <c r="H9" s="33" t="str">
        <f>IFERROR(IF(VLOOKUP($D9,'Raw Data'!$B:$CQ,VLOOKUP('SWB CaseList'!H$5,'SWB-Lists'!$A:$C,3,0),0)=0,"NA",VLOOKUP($D9,'Raw Data'!$B:$CQ,VLOOKUP('SWB CaseList'!H$5,'SWB-Lists'!$A:$C,3,0),0)),"NA")</f>
        <v>NA</v>
      </c>
      <c r="I9" s="33" t="str">
        <f>IFERROR(IF(VLOOKUP($D9,'Raw Data'!$B:$CQ,VLOOKUP('SWB CaseList'!I$5,'SWB-Lists'!$A:$C,3,0),0)=0,"NA",VLOOKUP($D9,'Raw Data'!$B:$CQ,VLOOKUP('SWB CaseList'!I$5,'SWB-Lists'!$A:$C,3,0),0)),"NA")</f>
        <v>NA</v>
      </c>
      <c r="J9" s="33" t="str">
        <f>IFERROR(IF(VLOOKUP($D9,'Raw Data'!$B:$CQ,VLOOKUP('SWB CaseList'!J$5,'SWB-Lists'!$A:$C,3,0),0)=0,"NA",VLOOKUP($D9,'Raw Data'!$B:$CQ,VLOOKUP('SWB CaseList'!J$5,'SWB-Lists'!$A:$C,3,0),0)),"NA")</f>
        <v>NA</v>
      </c>
      <c r="K9" s="33" t="str">
        <f>IFERROR(IF(VLOOKUP($D9,'Raw Data'!$B:$CQ,VLOOKUP('SWB CaseList'!K$5,'SWB-Lists'!$A:$C,3,0),0)=0,"NA",VLOOKUP($D9,'Raw Data'!$B:$CQ,VLOOKUP('SWB CaseList'!K$5,'SWB-Lists'!$A:$C,3,0),0)),"NA")</f>
        <v>NA</v>
      </c>
      <c r="L9" s="33" t="str">
        <f>IFERROR(IF(VLOOKUP($D9,'Raw Data'!$B:$CQ,VLOOKUP('SWB CaseList'!L$5,'SWB-Lists'!$A:$C,3,0),0)=0,"NA",VLOOKUP($D9,'Raw Data'!$B:$CQ,VLOOKUP('SWB CaseList'!L$5,'SWB-Lists'!$A:$C,3,0),0)),"NA")</f>
        <v>NA</v>
      </c>
      <c r="M9" s="33" t="str">
        <f>IFERROR(IF(VLOOKUP($D9,'Raw Data'!$B:$CQ,VLOOKUP('SWB CaseList'!M$5,'SWB-Lists'!$A:$C,3,0),0)=0,"NA",VLOOKUP($D9,'Raw Data'!$B:$CQ,VLOOKUP('SWB CaseList'!M$5,'SWB-Lists'!$A:$C,3,0),0)),"NA")</f>
        <v>NA</v>
      </c>
      <c r="N9" s="43" t="str">
        <f>IFERROR(IF(VLOOKUP($D9,'Raw Data'!$B:$CQ,VLOOKUP('SWB CaseList'!N$5,'SWB-Lists'!$A:$C,3,0),0)=0,"NA",VLOOKUP($D9,'Raw Data'!$B:$CQ,VLOOKUP('SWB CaseList'!N$5,'SWB-Lists'!$A:$C,3,0),0)),"NA")</f>
        <v>NA</v>
      </c>
      <c r="O9" s="44" t="str">
        <f>IFERROR(IF(VLOOKUP($D9,'Raw Data'!$B:$CQ,VLOOKUP('SWB CaseList'!O$5,'SWB-Lists'!$A:$C,3,0),0)=0,"NA",VLOOKUP($D9,'Raw Data'!$B:$CQ,VLOOKUP('SWB CaseList'!O$5,'SWB-Lists'!$A:$C,3,0),0)),"NA")</f>
        <v>NA</v>
      </c>
      <c r="P9" s="45" t="str">
        <f>IFERROR(IF(VLOOKUP($D9,'Raw Data'!$B:$CQ,VLOOKUP('SWB CaseList'!P$5,'SWB-Lists'!$A:$C,3,0),0)=0,"NA",VLOOKUP($D9,'Raw Data'!$B:$CQ,VLOOKUP('SWB CaseList'!P$5,'SWB-Lists'!$A:$C,3,0),0)),"NA")</f>
        <v>NA</v>
      </c>
      <c r="Q9" s="33" t="str">
        <f>IFERROR(IF(VLOOKUP($D9,'Raw Data'!$B:$CQ,VLOOKUP('SWB CaseList'!Q$5,'SWB-Lists'!$A:$C,3,0),0)=0,"NA",VLOOKUP($D9,'Raw Data'!$B:$CQ,VLOOKUP('SWB CaseList'!Q$5,'SWB-Lists'!$A:$C,3,0),0)),"NA")</f>
        <v>NA</v>
      </c>
      <c r="R9" s="33" t="str">
        <f>IFERROR(IF(VLOOKUP($D9,'Raw Data'!$B:$CQ,VLOOKUP('SWB CaseList'!R$5,'SWB-Lists'!$A:$C,3,0),0)=0,"NA",VLOOKUP($D9,'Raw Data'!$B:$CQ,VLOOKUP('SWB CaseList'!R$5,'SWB-Lists'!$A:$C,3,0),0)),"NA")</f>
        <v>NA</v>
      </c>
      <c r="S9" s="33" t="str">
        <f>IFERROR(IF(VLOOKUP($D9,'Raw Data'!$B:$CQ,VLOOKUP('SWB CaseList'!S$5,'SWB-Lists'!$A:$C,3,0),0)=0,"NA",VLOOKUP($D9,'Raw Data'!$B:$CQ,VLOOKUP('SWB CaseList'!S$5,'SWB-Lists'!$A:$C,3,0),0)),"NA")</f>
        <v>NA</v>
      </c>
      <c r="T9" s="33" t="str">
        <f>IFERROR(IF(VLOOKUP($D9,'Raw Data'!$B:$CQ,VLOOKUP('SWB CaseList'!T$5,'SWB-Lists'!$A:$C,3,0),0)=0,"NA",VLOOKUP($D9,'Raw Data'!$B:$CQ,VLOOKUP('SWB CaseList'!T$5,'SWB-Lists'!$A:$C,3,0),0)),"NA")</f>
        <v>NA</v>
      </c>
      <c r="U9" s="33" t="str">
        <f>IFERROR(IF(VLOOKUP($D9,'Raw Data'!$B:$CQ,VLOOKUP('SWB CaseList'!U$5,'SWB-Lists'!$A:$C,3,0),0)=0,"NA",VLOOKUP($D9,'Raw Data'!$B:$CQ,VLOOKUP('SWB CaseList'!U$5,'SWB-Lists'!$A:$C,3,0),0)),"NA")</f>
        <v>NA</v>
      </c>
      <c r="V9" s="33" t="str">
        <f>IFERROR(IF(VLOOKUP($D9,'Raw Data'!$B:$CQ,VLOOKUP('SWB CaseList'!V$5,'SWB-Lists'!$A:$C,3,0),0)=0,"NA",VLOOKUP($D9,'Raw Data'!$B:$CQ,VLOOKUP('SWB CaseList'!V$5,'SWB-Lists'!$A:$C,3,0),0)),"NA")</f>
        <v>NA</v>
      </c>
      <c r="W9" s="33" t="str">
        <f>IFERROR(IF(VLOOKUP($D9,'Raw Data'!$B:$CQ,VLOOKUP('SWB CaseList'!W$5,'SWB-Lists'!$A:$C,3,0),0)=0,"NA",VLOOKUP($D9,'Raw Data'!$B:$CQ,VLOOKUP('SWB CaseList'!W$5,'SWB-Lists'!$A:$C,3,0),0)),"NA")</f>
        <v>NA</v>
      </c>
      <c r="X9" s="33" t="str">
        <f>IFERROR(IF(VLOOKUP($D9,'Raw Data'!$B:$CQ,VLOOKUP('SWB CaseList'!X$5,'SWB-Lists'!$A:$C,3,0),0)=0,"NA",VLOOKUP($D9,'Raw Data'!$B:$CQ,VLOOKUP('SWB CaseList'!X$5,'SWB-Lists'!$A:$C,3,0),0)),"NA")</f>
        <v>NA</v>
      </c>
      <c r="Y9" s="33" t="str">
        <f>IFERROR(IF(VLOOKUP($D9,'Raw Data'!$B:$CQ,VLOOKUP('SWB CaseList'!Y$5,'SWB-Lists'!$A:$C,3,0),0)=0,"NA",VLOOKUP($D9,'Raw Data'!$B:$CQ,VLOOKUP('SWB CaseList'!Y$5,'SWB-Lists'!$A:$C,3,0),0)),"NA")</f>
        <v>NA</v>
      </c>
      <c r="AA9" s="8">
        <v>10000001931228</v>
      </c>
    </row>
    <row r="10" spans="1:27" x14ac:dyDescent="0.35">
      <c r="A10" s="40"/>
      <c r="B10" s="3" t="s">
        <v>369</v>
      </c>
      <c r="C10" s="3" t="s">
        <v>45</v>
      </c>
      <c r="D10" s="41">
        <v>12389277</v>
      </c>
      <c r="E10" s="2" t="str">
        <f>IFERROR(IF(VLOOKUP($D10,'Raw Data'!$B:$CQ,VLOOKUP('SWB CaseList'!E$5,'SWB-Lists'!$A:$C,3,0),0)=0,"NA",VLOOKUP($D10,'Raw Data'!$B:$CQ,VLOOKUP('SWB CaseList'!E$5,'SWB-Lists'!$A:$C,3,0),0)),"NA")</f>
        <v>NA</v>
      </c>
      <c r="F10" s="42" t="s">
        <v>46</v>
      </c>
      <c r="G10" s="33" t="str">
        <f>IFERROR(IF(VLOOKUP($D10,'Raw Data'!$B:$CQ,VLOOKUP('SWB CaseList'!G$5,'SWB-Lists'!$A:$C,3,0),0)=0,"NA",VLOOKUP($D10,'Raw Data'!$B:$CQ,VLOOKUP('SWB CaseList'!G$5,'SWB-Lists'!$A:$C,3,0),0)),"NA")</f>
        <v>NA</v>
      </c>
      <c r="H10" s="33" t="str">
        <f>IFERROR(IF(VLOOKUP($D10,'Raw Data'!$B:$CQ,VLOOKUP('SWB CaseList'!H$5,'SWB-Lists'!$A:$C,3,0),0)=0,"NA",VLOOKUP($D10,'Raw Data'!$B:$CQ,VLOOKUP('SWB CaseList'!H$5,'SWB-Lists'!$A:$C,3,0),0)),"NA")</f>
        <v>NA</v>
      </c>
      <c r="I10" s="33" t="str">
        <f>IFERROR(IF(VLOOKUP($D10,'Raw Data'!$B:$CQ,VLOOKUP('SWB CaseList'!I$5,'SWB-Lists'!$A:$C,3,0),0)=0,"NA",VLOOKUP($D10,'Raw Data'!$B:$CQ,VLOOKUP('SWB CaseList'!I$5,'SWB-Lists'!$A:$C,3,0),0)),"NA")</f>
        <v>NA</v>
      </c>
      <c r="J10" s="33" t="str">
        <f>IFERROR(IF(VLOOKUP($D10,'Raw Data'!$B:$CQ,VLOOKUP('SWB CaseList'!J$5,'SWB-Lists'!$A:$C,3,0),0)=0,"NA",VLOOKUP($D10,'Raw Data'!$B:$CQ,VLOOKUP('SWB CaseList'!J$5,'SWB-Lists'!$A:$C,3,0),0)),"NA")</f>
        <v>NA</v>
      </c>
      <c r="K10" s="33" t="str">
        <f>IFERROR(IF(VLOOKUP($D10,'Raw Data'!$B:$CQ,VLOOKUP('SWB CaseList'!K$5,'SWB-Lists'!$A:$C,3,0),0)=0,"NA",VLOOKUP($D10,'Raw Data'!$B:$CQ,VLOOKUP('SWB CaseList'!K$5,'SWB-Lists'!$A:$C,3,0),0)),"NA")</f>
        <v>NA</v>
      </c>
      <c r="L10" s="33" t="str">
        <f>IFERROR(IF(VLOOKUP($D10,'Raw Data'!$B:$CQ,VLOOKUP('SWB CaseList'!L$5,'SWB-Lists'!$A:$C,3,0),0)=0,"NA",VLOOKUP($D10,'Raw Data'!$B:$CQ,VLOOKUP('SWB CaseList'!L$5,'SWB-Lists'!$A:$C,3,0),0)),"NA")</f>
        <v>NA</v>
      </c>
      <c r="M10" s="33" t="str">
        <f>IFERROR(IF(VLOOKUP($D10,'Raw Data'!$B:$CQ,VLOOKUP('SWB CaseList'!M$5,'SWB-Lists'!$A:$C,3,0),0)=0,"NA",VLOOKUP($D10,'Raw Data'!$B:$CQ,VLOOKUP('SWB CaseList'!M$5,'SWB-Lists'!$A:$C,3,0),0)),"NA")</f>
        <v>NA</v>
      </c>
      <c r="N10" s="43" t="str">
        <f>IFERROR(IF(VLOOKUP($D10,'Raw Data'!$B:$CQ,VLOOKUP('SWB CaseList'!N$5,'SWB-Lists'!$A:$C,3,0),0)=0,"NA",VLOOKUP($D10,'Raw Data'!$B:$CQ,VLOOKUP('SWB CaseList'!N$5,'SWB-Lists'!$A:$C,3,0),0)),"NA")</f>
        <v>NA</v>
      </c>
      <c r="O10" s="44" t="str">
        <f>IFERROR(IF(VLOOKUP($D10,'Raw Data'!$B:$CQ,VLOOKUP('SWB CaseList'!O$5,'SWB-Lists'!$A:$C,3,0),0)=0,"NA",VLOOKUP($D10,'Raw Data'!$B:$CQ,VLOOKUP('SWB CaseList'!O$5,'SWB-Lists'!$A:$C,3,0),0)),"NA")</f>
        <v>NA</v>
      </c>
      <c r="P10" s="45" t="str">
        <f>IFERROR(IF(VLOOKUP($D10,'Raw Data'!$B:$CQ,VLOOKUP('SWB CaseList'!P$5,'SWB-Lists'!$A:$C,3,0),0)=0,"NA",VLOOKUP($D10,'Raw Data'!$B:$CQ,VLOOKUP('SWB CaseList'!P$5,'SWB-Lists'!$A:$C,3,0),0)),"NA")</f>
        <v>NA</v>
      </c>
      <c r="Q10" s="33" t="str">
        <f>IFERROR(IF(VLOOKUP($D10,'Raw Data'!$B:$CQ,VLOOKUP('SWB CaseList'!Q$5,'SWB-Lists'!$A:$C,3,0),0)=0,"NA",VLOOKUP($D10,'Raw Data'!$B:$CQ,VLOOKUP('SWB CaseList'!Q$5,'SWB-Lists'!$A:$C,3,0),0)),"NA")</f>
        <v>NA</v>
      </c>
      <c r="R10" s="33" t="str">
        <f>IFERROR(IF(VLOOKUP($D10,'Raw Data'!$B:$CQ,VLOOKUP('SWB CaseList'!R$5,'SWB-Lists'!$A:$C,3,0),0)=0,"NA",VLOOKUP($D10,'Raw Data'!$B:$CQ,VLOOKUP('SWB CaseList'!R$5,'SWB-Lists'!$A:$C,3,0),0)),"NA")</f>
        <v>NA</v>
      </c>
      <c r="S10" s="33" t="str">
        <f>IFERROR(IF(VLOOKUP($D10,'Raw Data'!$B:$CQ,VLOOKUP('SWB CaseList'!S$5,'SWB-Lists'!$A:$C,3,0),0)=0,"NA",VLOOKUP($D10,'Raw Data'!$B:$CQ,VLOOKUP('SWB CaseList'!S$5,'SWB-Lists'!$A:$C,3,0),0)),"NA")</f>
        <v>NA</v>
      </c>
      <c r="T10" s="33" t="str">
        <f>IFERROR(IF(VLOOKUP($D10,'Raw Data'!$B:$CQ,VLOOKUP('SWB CaseList'!T$5,'SWB-Lists'!$A:$C,3,0),0)=0,"NA",VLOOKUP($D10,'Raw Data'!$B:$CQ,VLOOKUP('SWB CaseList'!T$5,'SWB-Lists'!$A:$C,3,0),0)),"NA")</f>
        <v>NA</v>
      </c>
      <c r="U10" s="33" t="str">
        <f>IFERROR(IF(VLOOKUP($D10,'Raw Data'!$B:$CQ,VLOOKUP('SWB CaseList'!U$5,'SWB-Lists'!$A:$C,3,0),0)=0,"NA",VLOOKUP($D10,'Raw Data'!$B:$CQ,VLOOKUP('SWB CaseList'!U$5,'SWB-Lists'!$A:$C,3,0),0)),"NA")</f>
        <v>NA</v>
      </c>
      <c r="V10" s="33" t="str">
        <f>IFERROR(IF(VLOOKUP($D10,'Raw Data'!$B:$CQ,VLOOKUP('SWB CaseList'!V$5,'SWB-Lists'!$A:$C,3,0),0)=0,"NA",VLOOKUP($D10,'Raw Data'!$B:$CQ,VLOOKUP('SWB CaseList'!V$5,'SWB-Lists'!$A:$C,3,0),0)),"NA")</f>
        <v>NA</v>
      </c>
      <c r="W10" s="33" t="str">
        <f>IFERROR(IF(VLOOKUP($D10,'Raw Data'!$B:$CQ,VLOOKUP('SWB CaseList'!W$5,'SWB-Lists'!$A:$C,3,0),0)=0,"NA",VLOOKUP($D10,'Raw Data'!$B:$CQ,VLOOKUP('SWB CaseList'!W$5,'SWB-Lists'!$A:$C,3,0),0)),"NA")</f>
        <v>NA</v>
      </c>
      <c r="X10" s="33" t="str">
        <f>IFERROR(IF(VLOOKUP($D10,'Raw Data'!$B:$CQ,VLOOKUP('SWB CaseList'!X$5,'SWB-Lists'!$A:$C,3,0),0)=0,"NA",VLOOKUP($D10,'Raw Data'!$B:$CQ,VLOOKUP('SWB CaseList'!X$5,'SWB-Lists'!$A:$C,3,0),0)),"NA")</f>
        <v>NA</v>
      </c>
      <c r="Y10" s="33" t="str">
        <f>IFERROR(IF(VLOOKUP($D10,'Raw Data'!$B:$CQ,VLOOKUP('SWB CaseList'!Y$5,'SWB-Lists'!$A:$C,3,0),0)=0,"NA",VLOOKUP($D10,'Raw Data'!$B:$CQ,VLOOKUP('SWB CaseList'!Y$5,'SWB-Lists'!$A:$C,3,0),0)),"NA")</f>
        <v>NA</v>
      </c>
    </row>
    <row r="11" spans="1:27" x14ac:dyDescent="0.35">
      <c r="A11" s="40"/>
      <c r="B11" s="3" t="s">
        <v>369</v>
      </c>
      <c r="C11" s="3" t="s">
        <v>45</v>
      </c>
      <c r="D11" s="41">
        <v>12389269</v>
      </c>
      <c r="E11" s="2" t="str">
        <f>IFERROR(IF(VLOOKUP($D11,'Raw Data'!$B:$CQ,VLOOKUP('SWB CaseList'!E$5,'SWB-Lists'!$A:$C,3,0),0)=0,"NA",VLOOKUP($D11,'Raw Data'!$B:$CQ,VLOOKUP('SWB CaseList'!E$5,'SWB-Lists'!$A:$C,3,0),0)),"NA")</f>
        <v>NA</v>
      </c>
      <c r="F11" s="42" t="s">
        <v>46</v>
      </c>
      <c r="G11" s="33" t="str">
        <f>IFERROR(IF(VLOOKUP($D11,'Raw Data'!$B:$CQ,VLOOKUP('SWB CaseList'!G$5,'SWB-Lists'!$A:$C,3,0),0)=0,"NA",VLOOKUP($D11,'Raw Data'!$B:$CQ,VLOOKUP('SWB CaseList'!G$5,'SWB-Lists'!$A:$C,3,0),0)),"NA")</f>
        <v>NA</v>
      </c>
      <c r="H11" s="33" t="str">
        <f>IFERROR(IF(VLOOKUP($D11,'Raw Data'!$B:$CQ,VLOOKUP('SWB CaseList'!H$5,'SWB-Lists'!$A:$C,3,0),0)=0,"NA",VLOOKUP($D11,'Raw Data'!$B:$CQ,VLOOKUP('SWB CaseList'!H$5,'SWB-Lists'!$A:$C,3,0),0)),"NA")</f>
        <v>NA</v>
      </c>
      <c r="I11" s="33" t="str">
        <f>IFERROR(IF(VLOOKUP($D11,'Raw Data'!$B:$CQ,VLOOKUP('SWB CaseList'!I$5,'SWB-Lists'!$A:$C,3,0),0)=0,"NA",VLOOKUP($D11,'Raw Data'!$B:$CQ,VLOOKUP('SWB CaseList'!I$5,'SWB-Lists'!$A:$C,3,0),0)),"NA")</f>
        <v>NA</v>
      </c>
      <c r="J11" s="33" t="str">
        <f>IFERROR(IF(VLOOKUP($D11,'Raw Data'!$B:$CQ,VLOOKUP('SWB CaseList'!J$5,'SWB-Lists'!$A:$C,3,0),0)=0,"NA",VLOOKUP($D11,'Raw Data'!$B:$CQ,VLOOKUP('SWB CaseList'!J$5,'SWB-Lists'!$A:$C,3,0),0)),"NA")</f>
        <v>NA</v>
      </c>
      <c r="K11" s="33" t="str">
        <f>IFERROR(IF(VLOOKUP($D11,'Raw Data'!$B:$CQ,VLOOKUP('SWB CaseList'!K$5,'SWB-Lists'!$A:$C,3,0),0)=0,"NA",VLOOKUP($D11,'Raw Data'!$B:$CQ,VLOOKUP('SWB CaseList'!K$5,'SWB-Lists'!$A:$C,3,0),0)),"NA")</f>
        <v>NA</v>
      </c>
      <c r="L11" s="33" t="str">
        <f>IFERROR(IF(VLOOKUP($D11,'Raw Data'!$B:$CQ,VLOOKUP('SWB CaseList'!L$5,'SWB-Lists'!$A:$C,3,0),0)=0,"NA",VLOOKUP($D11,'Raw Data'!$B:$CQ,VLOOKUP('SWB CaseList'!L$5,'SWB-Lists'!$A:$C,3,0),0)),"NA")</f>
        <v>NA</v>
      </c>
      <c r="M11" s="33" t="str">
        <f>IFERROR(IF(VLOOKUP($D11,'Raw Data'!$B:$CQ,VLOOKUP('SWB CaseList'!M$5,'SWB-Lists'!$A:$C,3,0),0)=0,"NA",VLOOKUP($D11,'Raw Data'!$B:$CQ,VLOOKUP('SWB CaseList'!M$5,'SWB-Lists'!$A:$C,3,0),0)),"NA")</f>
        <v>NA</v>
      </c>
      <c r="N11" s="43" t="str">
        <f>IFERROR(IF(VLOOKUP($D11,'Raw Data'!$B:$CQ,VLOOKUP('SWB CaseList'!N$5,'SWB-Lists'!$A:$C,3,0),0)=0,"NA",VLOOKUP($D11,'Raw Data'!$B:$CQ,VLOOKUP('SWB CaseList'!N$5,'SWB-Lists'!$A:$C,3,0),0)),"NA")</f>
        <v>NA</v>
      </c>
      <c r="O11" s="44" t="str">
        <f>IFERROR(IF(VLOOKUP($D11,'Raw Data'!$B:$CQ,VLOOKUP('SWB CaseList'!O$5,'SWB-Lists'!$A:$C,3,0),0)=0,"NA",VLOOKUP($D11,'Raw Data'!$B:$CQ,VLOOKUP('SWB CaseList'!O$5,'SWB-Lists'!$A:$C,3,0),0)),"NA")</f>
        <v>NA</v>
      </c>
      <c r="P11" s="45" t="str">
        <f>IFERROR(IF(VLOOKUP($D11,'Raw Data'!$B:$CQ,VLOOKUP('SWB CaseList'!P$5,'SWB-Lists'!$A:$C,3,0),0)=0,"NA",VLOOKUP($D11,'Raw Data'!$B:$CQ,VLOOKUP('SWB CaseList'!P$5,'SWB-Lists'!$A:$C,3,0),0)),"NA")</f>
        <v>NA</v>
      </c>
      <c r="Q11" s="33" t="str">
        <f>IFERROR(IF(VLOOKUP($D11,'Raw Data'!$B:$CQ,VLOOKUP('SWB CaseList'!Q$5,'SWB-Lists'!$A:$C,3,0),0)=0,"NA",VLOOKUP($D11,'Raw Data'!$B:$CQ,VLOOKUP('SWB CaseList'!Q$5,'SWB-Lists'!$A:$C,3,0),0)),"NA")</f>
        <v>NA</v>
      </c>
      <c r="R11" s="33" t="str">
        <f>IFERROR(IF(VLOOKUP($D11,'Raw Data'!$B:$CQ,VLOOKUP('SWB CaseList'!R$5,'SWB-Lists'!$A:$C,3,0),0)=0,"NA",VLOOKUP($D11,'Raw Data'!$B:$CQ,VLOOKUP('SWB CaseList'!R$5,'SWB-Lists'!$A:$C,3,0),0)),"NA")</f>
        <v>NA</v>
      </c>
      <c r="S11" s="33" t="str">
        <f>IFERROR(IF(VLOOKUP($D11,'Raw Data'!$B:$CQ,VLOOKUP('SWB CaseList'!S$5,'SWB-Lists'!$A:$C,3,0),0)=0,"NA",VLOOKUP($D11,'Raw Data'!$B:$CQ,VLOOKUP('SWB CaseList'!S$5,'SWB-Lists'!$A:$C,3,0),0)),"NA")</f>
        <v>NA</v>
      </c>
      <c r="T11" s="33" t="str">
        <f>IFERROR(IF(VLOOKUP($D11,'Raw Data'!$B:$CQ,VLOOKUP('SWB CaseList'!T$5,'SWB-Lists'!$A:$C,3,0),0)=0,"NA",VLOOKUP($D11,'Raw Data'!$B:$CQ,VLOOKUP('SWB CaseList'!T$5,'SWB-Lists'!$A:$C,3,0),0)),"NA")</f>
        <v>NA</v>
      </c>
      <c r="U11" s="33" t="str">
        <f>IFERROR(IF(VLOOKUP($D11,'Raw Data'!$B:$CQ,VLOOKUP('SWB CaseList'!U$5,'SWB-Lists'!$A:$C,3,0),0)=0,"NA",VLOOKUP($D11,'Raw Data'!$B:$CQ,VLOOKUP('SWB CaseList'!U$5,'SWB-Lists'!$A:$C,3,0),0)),"NA")</f>
        <v>NA</v>
      </c>
      <c r="V11" s="33" t="str">
        <f>IFERROR(IF(VLOOKUP($D11,'Raw Data'!$B:$CQ,VLOOKUP('SWB CaseList'!V$5,'SWB-Lists'!$A:$C,3,0),0)=0,"NA",VLOOKUP($D11,'Raw Data'!$B:$CQ,VLOOKUP('SWB CaseList'!V$5,'SWB-Lists'!$A:$C,3,0),0)),"NA")</f>
        <v>NA</v>
      </c>
      <c r="W11" s="33" t="str">
        <f>IFERROR(IF(VLOOKUP($D11,'Raw Data'!$B:$CQ,VLOOKUP('SWB CaseList'!W$5,'SWB-Lists'!$A:$C,3,0),0)=0,"NA",VLOOKUP($D11,'Raw Data'!$B:$CQ,VLOOKUP('SWB CaseList'!W$5,'SWB-Lists'!$A:$C,3,0),0)),"NA")</f>
        <v>NA</v>
      </c>
      <c r="X11" s="33" t="str">
        <f>IFERROR(IF(VLOOKUP($D11,'Raw Data'!$B:$CQ,VLOOKUP('SWB CaseList'!X$5,'SWB-Lists'!$A:$C,3,0),0)=0,"NA",VLOOKUP($D11,'Raw Data'!$B:$CQ,VLOOKUP('SWB CaseList'!X$5,'SWB-Lists'!$A:$C,3,0),0)),"NA")</f>
        <v>NA</v>
      </c>
      <c r="Y11" s="33" t="str">
        <f>IFERROR(IF(VLOOKUP($D11,'Raw Data'!$B:$CQ,VLOOKUP('SWB CaseList'!Y$5,'SWB-Lists'!$A:$C,3,0),0)=0,"NA",VLOOKUP($D11,'Raw Data'!$B:$CQ,VLOOKUP('SWB CaseList'!Y$5,'SWB-Lists'!$A:$C,3,0),0)),"NA")</f>
        <v>NA</v>
      </c>
    </row>
    <row r="12" spans="1:27" x14ac:dyDescent="0.35">
      <c r="A12" s="40"/>
      <c r="B12" s="3" t="s">
        <v>369</v>
      </c>
      <c r="C12" s="3" t="s">
        <v>45</v>
      </c>
      <c r="D12" s="41">
        <v>12394302</v>
      </c>
      <c r="E12" s="2" t="str">
        <f>IFERROR(IF(VLOOKUP($D12,'Raw Data'!$B:$CQ,VLOOKUP('SWB CaseList'!E$5,'SWB-Lists'!$A:$C,3,0),0)=0,"NA",VLOOKUP($D12,'Raw Data'!$B:$CQ,VLOOKUP('SWB CaseList'!E$5,'SWB-Lists'!$A:$C,3,0),0)),"NA")</f>
        <v>NA</v>
      </c>
      <c r="F12" s="42" t="s">
        <v>46</v>
      </c>
      <c r="G12" s="33" t="str">
        <f>IFERROR(IF(VLOOKUP($D12,'Raw Data'!$B:$CQ,VLOOKUP('SWB CaseList'!G$5,'SWB-Lists'!$A:$C,3,0),0)=0,"NA",VLOOKUP($D12,'Raw Data'!$B:$CQ,VLOOKUP('SWB CaseList'!G$5,'SWB-Lists'!$A:$C,3,0),0)),"NA")</f>
        <v>NA</v>
      </c>
      <c r="H12" s="33" t="str">
        <f>IFERROR(IF(VLOOKUP($D12,'Raw Data'!$B:$CQ,VLOOKUP('SWB CaseList'!H$5,'SWB-Lists'!$A:$C,3,0),0)=0,"NA",VLOOKUP($D12,'Raw Data'!$B:$CQ,VLOOKUP('SWB CaseList'!H$5,'SWB-Lists'!$A:$C,3,0),0)),"NA")</f>
        <v>NA</v>
      </c>
      <c r="I12" s="33" t="str">
        <f>IFERROR(IF(VLOOKUP($D12,'Raw Data'!$B:$CQ,VLOOKUP('SWB CaseList'!I$5,'SWB-Lists'!$A:$C,3,0),0)=0,"NA",VLOOKUP($D12,'Raw Data'!$B:$CQ,VLOOKUP('SWB CaseList'!I$5,'SWB-Lists'!$A:$C,3,0),0)),"NA")</f>
        <v>NA</v>
      </c>
      <c r="J12" s="33" t="str">
        <f>IFERROR(IF(VLOOKUP($D12,'Raw Data'!$B:$CQ,VLOOKUP('SWB CaseList'!J$5,'SWB-Lists'!$A:$C,3,0),0)=0,"NA",VLOOKUP($D12,'Raw Data'!$B:$CQ,VLOOKUP('SWB CaseList'!J$5,'SWB-Lists'!$A:$C,3,0),0)),"NA")</f>
        <v>NA</v>
      </c>
      <c r="K12" s="33" t="str">
        <f>IFERROR(IF(VLOOKUP($D12,'Raw Data'!$B:$CQ,VLOOKUP('SWB CaseList'!K$5,'SWB-Lists'!$A:$C,3,0),0)=0,"NA",VLOOKUP($D12,'Raw Data'!$B:$CQ,VLOOKUP('SWB CaseList'!K$5,'SWB-Lists'!$A:$C,3,0),0)),"NA")</f>
        <v>NA</v>
      </c>
      <c r="L12" s="33" t="str">
        <f>IFERROR(IF(VLOOKUP($D12,'Raw Data'!$B:$CQ,VLOOKUP('SWB CaseList'!L$5,'SWB-Lists'!$A:$C,3,0),0)=0,"NA",VLOOKUP($D12,'Raw Data'!$B:$CQ,VLOOKUP('SWB CaseList'!L$5,'SWB-Lists'!$A:$C,3,0),0)),"NA")</f>
        <v>NA</v>
      </c>
      <c r="M12" s="33" t="str">
        <f>IFERROR(IF(VLOOKUP($D12,'Raw Data'!$B:$CQ,VLOOKUP('SWB CaseList'!M$5,'SWB-Lists'!$A:$C,3,0),0)=0,"NA",VLOOKUP($D12,'Raw Data'!$B:$CQ,VLOOKUP('SWB CaseList'!M$5,'SWB-Lists'!$A:$C,3,0),0)),"NA")</f>
        <v>NA</v>
      </c>
      <c r="N12" s="43" t="str">
        <f>IFERROR(IF(VLOOKUP($D12,'Raw Data'!$B:$CQ,VLOOKUP('SWB CaseList'!N$5,'SWB-Lists'!$A:$C,3,0),0)=0,"NA",VLOOKUP($D12,'Raw Data'!$B:$CQ,VLOOKUP('SWB CaseList'!N$5,'SWB-Lists'!$A:$C,3,0),0)),"NA")</f>
        <v>NA</v>
      </c>
      <c r="O12" s="44" t="str">
        <f>IFERROR(IF(VLOOKUP($D12,'Raw Data'!$B:$CQ,VLOOKUP('SWB CaseList'!O$5,'SWB-Lists'!$A:$C,3,0),0)=0,"NA",VLOOKUP($D12,'Raw Data'!$B:$CQ,VLOOKUP('SWB CaseList'!O$5,'SWB-Lists'!$A:$C,3,0),0)),"NA")</f>
        <v>NA</v>
      </c>
      <c r="P12" s="45" t="str">
        <f>IFERROR(IF(VLOOKUP($D12,'Raw Data'!$B:$CQ,VLOOKUP('SWB CaseList'!P$5,'SWB-Lists'!$A:$C,3,0),0)=0,"NA",VLOOKUP($D12,'Raw Data'!$B:$CQ,VLOOKUP('SWB CaseList'!P$5,'SWB-Lists'!$A:$C,3,0),0)),"NA")</f>
        <v>NA</v>
      </c>
      <c r="Q12" s="33" t="str">
        <f>IFERROR(IF(VLOOKUP($D12,'Raw Data'!$B:$CQ,VLOOKUP('SWB CaseList'!Q$5,'SWB-Lists'!$A:$C,3,0),0)=0,"NA",VLOOKUP($D12,'Raw Data'!$B:$CQ,VLOOKUP('SWB CaseList'!Q$5,'SWB-Lists'!$A:$C,3,0),0)),"NA")</f>
        <v>NA</v>
      </c>
      <c r="R12" s="33" t="str">
        <f>IFERROR(IF(VLOOKUP($D12,'Raw Data'!$B:$CQ,VLOOKUP('SWB CaseList'!R$5,'SWB-Lists'!$A:$C,3,0),0)=0,"NA",VLOOKUP($D12,'Raw Data'!$B:$CQ,VLOOKUP('SWB CaseList'!R$5,'SWB-Lists'!$A:$C,3,0),0)),"NA")</f>
        <v>NA</v>
      </c>
      <c r="S12" s="33" t="str">
        <f>IFERROR(IF(VLOOKUP($D12,'Raw Data'!$B:$CQ,VLOOKUP('SWB CaseList'!S$5,'SWB-Lists'!$A:$C,3,0),0)=0,"NA",VLOOKUP($D12,'Raw Data'!$B:$CQ,VLOOKUP('SWB CaseList'!S$5,'SWB-Lists'!$A:$C,3,0),0)),"NA")</f>
        <v>NA</v>
      </c>
      <c r="T12" s="33" t="str">
        <f>IFERROR(IF(VLOOKUP($D12,'Raw Data'!$B:$CQ,VLOOKUP('SWB CaseList'!T$5,'SWB-Lists'!$A:$C,3,0),0)=0,"NA",VLOOKUP($D12,'Raw Data'!$B:$CQ,VLOOKUP('SWB CaseList'!T$5,'SWB-Lists'!$A:$C,3,0),0)),"NA")</f>
        <v>NA</v>
      </c>
      <c r="U12" s="33" t="str">
        <f>IFERROR(IF(VLOOKUP($D12,'Raw Data'!$B:$CQ,VLOOKUP('SWB CaseList'!U$5,'SWB-Lists'!$A:$C,3,0),0)=0,"NA",VLOOKUP($D12,'Raw Data'!$B:$CQ,VLOOKUP('SWB CaseList'!U$5,'SWB-Lists'!$A:$C,3,0),0)),"NA")</f>
        <v>NA</v>
      </c>
      <c r="V12" s="33" t="str">
        <f>IFERROR(IF(VLOOKUP($D12,'Raw Data'!$B:$CQ,VLOOKUP('SWB CaseList'!V$5,'SWB-Lists'!$A:$C,3,0),0)=0,"NA",VLOOKUP($D12,'Raw Data'!$B:$CQ,VLOOKUP('SWB CaseList'!V$5,'SWB-Lists'!$A:$C,3,0),0)),"NA")</f>
        <v>NA</v>
      </c>
      <c r="W12" s="33" t="str">
        <f>IFERROR(IF(VLOOKUP($D12,'Raw Data'!$B:$CQ,VLOOKUP('SWB CaseList'!W$5,'SWB-Lists'!$A:$C,3,0),0)=0,"NA",VLOOKUP($D12,'Raw Data'!$B:$CQ,VLOOKUP('SWB CaseList'!W$5,'SWB-Lists'!$A:$C,3,0),0)),"NA")</f>
        <v>NA</v>
      </c>
      <c r="X12" s="33" t="str">
        <f>IFERROR(IF(VLOOKUP($D12,'Raw Data'!$B:$CQ,VLOOKUP('SWB CaseList'!X$5,'SWB-Lists'!$A:$C,3,0),0)=0,"NA",VLOOKUP($D12,'Raw Data'!$B:$CQ,VLOOKUP('SWB CaseList'!X$5,'SWB-Lists'!$A:$C,3,0),0)),"NA")</f>
        <v>NA</v>
      </c>
      <c r="Y12" s="33" t="str">
        <f>IFERROR(IF(VLOOKUP($D12,'Raw Data'!$B:$CQ,VLOOKUP('SWB CaseList'!Y$5,'SWB-Lists'!$A:$C,3,0),0)=0,"NA",VLOOKUP($D12,'Raw Data'!$B:$CQ,VLOOKUP('SWB CaseList'!Y$5,'SWB-Lists'!$A:$C,3,0),0)),"NA")</f>
        <v>NA</v>
      </c>
    </row>
    <row r="13" spans="1:27" x14ac:dyDescent="0.35">
      <c r="A13" s="40"/>
      <c r="B13" s="3" t="s">
        <v>369</v>
      </c>
      <c r="C13" s="3" t="s">
        <v>45</v>
      </c>
      <c r="D13" s="41">
        <v>12389271</v>
      </c>
      <c r="E13" s="2" t="str">
        <f>IFERROR(IF(VLOOKUP($D13,'Raw Data'!$B:$CQ,VLOOKUP('SWB CaseList'!E$5,'SWB-Lists'!$A:$C,3,0),0)=0,"NA",VLOOKUP($D13,'Raw Data'!$B:$CQ,VLOOKUP('SWB CaseList'!E$5,'SWB-Lists'!$A:$C,3,0),0)),"NA")</f>
        <v>NA</v>
      </c>
      <c r="F13" s="42" t="s">
        <v>46</v>
      </c>
      <c r="G13" s="33" t="str">
        <f>IFERROR(IF(VLOOKUP($D13,'Raw Data'!$B:$CQ,VLOOKUP('SWB CaseList'!G$5,'SWB-Lists'!$A:$C,3,0),0)=0,"NA",VLOOKUP($D13,'Raw Data'!$B:$CQ,VLOOKUP('SWB CaseList'!G$5,'SWB-Lists'!$A:$C,3,0),0)),"NA")</f>
        <v>NA</v>
      </c>
      <c r="H13" s="33" t="str">
        <f>IFERROR(IF(VLOOKUP($D13,'Raw Data'!$B:$CQ,VLOOKUP('SWB CaseList'!H$5,'SWB-Lists'!$A:$C,3,0),0)=0,"NA",VLOOKUP($D13,'Raw Data'!$B:$CQ,VLOOKUP('SWB CaseList'!H$5,'SWB-Lists'!$A:$C,3,0),0)),"NA")</f>
        <v>NA</v>
      </c>
      <c r="I13" s="33" t="str">
        <f>IFERROR(IF(VLOOKUP($D13,'Raw Data'!$B:$CQ,VLOOKUP('SWB CaseList'!I$5,'SWB-Lists'!$A:$C,3,0),0)=0,"NA",VLOOKUP($D13,'Raw Data'!$B:$CQ,VLOOKUP('SWB CaseList'!I$5,'SWB-Lists'!$A:$C,3,0),0)),"NA")</f>
        <v>NA</v>
      </c>
      <c r="J13" s="33" t="str">
        <f>IFERROR(IF(VLOOKUP($D13,'Raw Data'!$B:$CQ,VLOOKUP('SWB CaseList'!J$5,'SWB-Lists'!$A:$C,3,0),0)=0,"NA",VLOOKUP($D13,'Raw Data'!$B:$CQ,VLOOKUP('SWB CaseList'!J$5,'SWB-Lists'!$A:$C,3,0),0)),"NA")</f>
        <v>NA</v>
      </c>
      <c r="K13" s="33" t="str">
        <f>IFERROR(IF(VLOOKUP($D13,'Raw Data'!$B:$CQ,VLOOKUP('SWB CaseList'!K$5,'SWB-Lists'!$A:$C,3,0),0)=0,"NA",VLOOKUP($D13,'Raw Data'!$B:$CQ,VLOOKUP('SWB CaseList'!K$5,'SWB-Lists'!$A:$C,3,0),0)),"NA")</f>
        <v>NA</v>
      </c>
      <c r="L13" s="33" t="str">
        <f>IFERROR(IF(VLOOKUP($D13,'Raw Data'!$B:$CQ,VLOOKUP('SWB CaseList'!L$5,'SWB-Lists'!$A:$C,3,0),0)=0,"NA",VLOOKUP($D13,'Raw Data'!$B:$CQ,VLOOKUP('SWB CaseList'!L$5,'SWB-Lists'!$A:$C,3,0),0)),"NA")</f>
        <v>NA</v>
      </c>
      <c r="M13" s="33" t="str">
        <f>IFERROR(IF(VLOOKUP($D13,'Raw Data'!$B:$CQ,VLOOKUP('SWB CaseList'!M$5,'SWB-Lists'!$A:$C,3,0),0)=0,"NA",VLOOKUP($D13,'Raw Data'!$B:$CQ,VLOOKUP('SWB CaseList'!M$5,'SWB-Lists'!$A:$C,3,0),0)),"NA")</f>
        <v>NA</v>
      </c>
      <c r="N13" s="43" t="str">
        <f>IFERROR(IF(VLOOKUP($D13,'Raw Data'!$B:$CQ,VLOOKUP('SWB CaseList'!N$5,'SWB-Lists'!$A:$C,3,0),0)=0,"NA",VLOOKUP($D13,'Raw Data'!$B:$CQ,VLOOKUP('SWB CaseList'!N$5,'SWB-Lists'!$A:$C,3,0),0)),"NA")</f>
        <v>NA</v>
      </c>
      <c r="O13" s="44" t="str">
        <f>IFERROR(IF(VLOOKUP($D13,'Raw Data'!$B:$CQ,VLOOKUP('SWB CaseList'!O$5,'SWB-Lists'!$A:$C,3,0),0)=0,"NA",VLOOKUP($D13,'Raw Data'!$B:$CQ,VLOOKUP('SWB CaseList'!O$5,'SWB-Lists'!$A:$C,3,0),0)),"NA")</f>
        <v>NA</v>
      </c>
      <c r="P13" s="45" t="str">
        <f>IFERROR(IF(VLOOKUP($D13,'Raw Data'!$B:$CQ,VLOOKUP('SWB CaseList'!P$5,'SWB-Lists'!$A:$C,3,0),0)=0,"NA",VLOOKUP($D13,'Raw Data'!$B:$CQ,VLOOKUP('SWB CaseList'!P$5,'SWB-Lists'!$A:$C,3,0),0)),"NA")</f>
        <v>NA</v>
      </c>
      <c r="Q13" s="33" t="str">
        <f>IFERROR(IF(VLOOKUP($D13,'Raw Data'!$B:$CQ,VLOOKUP('SWB CaseList'!Q$5,'SWB-Lists'!$A:$C,3,0),0)=0,"NA",VLOOKUP($D13,'Raw Data'!$B:$CQ,VLOOKUP('SWB CaseList'!Q$5,'SWB-Lists'!$A:$C,3,0),0)),"NA")</f>
        <v>NA</v>
      </c>
      <c r="R13" s="33" t="str">
        <f>IFERROR(IF(VLOOKUP($D13,'Raw Data'!$B:$CQ,VLOOKUP('SWB CaseList'!R$5,'SWB-Lists'!$A:$C,3,0),0)=0,"NA",VLOOKUP($D13,'Raw Data'!$B:$CQ,VLOOKUP('SWB CaseList'!R$5,'SWB-Lists'!$A:$C,3,0),0)),"NA")</f>
        <v>NA</v>
      </c>
      <c r="S13" s="33" t="str">
        <f>IFERROR(IF(VLOOKUP($D13,'Raw Data'!$B:$CQ,VLOOKUP('SWB CaseList'!S$5,'SWB-Lists'!$A:$C,3,0),0)=0,"NA",VLOOKUP($D13,'Raw Data'!$B:$CQ,VLOOKUP('SWB CaseList'!S$5,'SWB-Lists'!$A:$C,3,0),0)),"NA")</f>
        <v>NA</v>
      </c>
      <c r="T13" s="33" t="str">
        <f>IFERROR(IF(VLOOKUP($D13,'Raw Data'!$B:$CQ,VLOOKUP('SWB CaseList'!T$5,'SWB-Lists'!$A:$C,3,0),0)=0,"NA",VLOOKUP($D13,'Raw Data'!$B:$CQ,VLOOKUP('SWB CaseList'!T$5,'SWB-Lists'!$A:$C,3,0),0)),"NA")</f>
        <v>NA</v>
      </c>
      <c r="U13" s="33" t="str">
        <f>IFERROR(IF(VLOOKUP($D13,'Raw Data'!$B:$CQ,VLOOKUP('SWB CaseList'!U$5,'SWB-Lists'!$A:$C,3,0),0)=0,"NA",VLOOKUP($D13,'Raw Data'!$B:$CQ,VLOOKUP('SWB CaseList'!U$5,'SWB-Lists'!$A:$C,3,0),0)),"NA")</f>
        <v>NA</v>
      </c>
      <c r="V13" s="33" t="str">
        <f>IFERROR(IF(VLOOKUP($D13,'Raw Data'!$B:$CQ,VLOOKUP('SWB CaseList'!V$5,'SWB-Lists'!$A:$C,3,0),0)=0,"NA",VLOOKUP($D13,'Raw Data'!$B:$CQ,VLOOKUP('SWB CaseList'!V$5,'SWB-Lists'!$A:$C,3,0),0)),"NA")</f>
        <v>NA</v>
      </c>
      <c r="W13" s="33" t="str">
        <f>IFERROR(IF(VLOOKUP($D13,'Raw Data'!$B:$CQ,VLOOKUP('SWB CaseList'!W$5,'SWB-Lists'!$A:$C,3,0),0)=0,"NA",VLOOKUP($D13,'Raw Data'!$B:$CQ,VLOOKUP('SWB CaseList'!W$5,'SWB-Lists'!$A:$C,3,0),0)),"NA")</f>
        <v>NA</v>
      </c>
      <c r="X13" s="33" t="str">
        <f>IFERROR(IF(VLOOKUP($D13,'Raw Data'!$B:$CQ,VLOOKUP('SWB CaseList'!X$5,'SWB-Lists'!$A:$C,3,0),0)=0,"NA",VLOOKUP($D13,'Raw Data'!$B:$CQ,VLOOKUP('SWB CaseList'!X$5,'SWB-Lists'!$A:$C,3,0),0)),"NA")</f>
        <v>NA</v>
      </c>
      <c r="Y13" s="33" t="str">
        <f>IFERROR(IF(VLOOKUP($D13,'Raw Data'!$B:$CQ,VLOOKUP('SWB CaseList'!Y$5,'SWB-Lists'!$A:$C,3,0),0)=0,"NA",VLOOKUP($D13,'Raw Data'!$B:$CQ,VLOOKUP('SWB CaseList'!Y$5,'SWB-Lists'!$A:$C,3,0),0)),"NA")</f>
        <v>NA</v>
      </c>
    </row>
    <row r="14" spans="1:27" x14ac:dyDescent="0.35">
      <c r="A14" s="40"/>
      <c r="B14" s="3" t="s">
        <v>369</v>
      </c>
      <c r="C14" s="3" t="s">
        <v>45</v>
      </c>
      <c r="D14" s="41">
        <v>12394309</v>
      </c>
      <c r="E14" s="2" t="str">
        <f>IFERROR(IF(VLOOKUP($D14,'Raw Data'!$B:$CQ,VLOOKUP('SWB CaseList'!E$5,'SWB-Lists'!$A:$C,3,0),0)=0,"NA",VLOOKUP($D14,'Raw Data'!$B:$CQ,VLOOKUP('SWB CaseList'!E$5,'SWB-Lists'!$A:$C,3,0),0)),"NA")</f>
        <v>NA</v>
      </c>
      <c r="F14" s="42" t="s">
        <v>46</v>
      </c>
      <c r="G14" s="33" t="str">
        <f>IFERROR(IF(VLOOKUP($D14,'Raw Data'!$B:$CQ,VLOOKUP('SWB CaseList'!G$5,'SWB-Lists'!$A:$C,3,0),0)=0,"NA",VLOOKUP($D14,'Raw Data'!$B:$CQ,VLOOKUP('SWB CaseList'!G$5,'SWB-Lists'!$A:$C,3,0),0)),"NA")</f>
        <v>NA</v>
      </c>
      <c r="H14" s="33" t="str">
        <f>IFERROR(IF(VLOOKUP($D14,'Raw Data'!$B:$CQ,VLOOKUP('SWB CaseList'!H$5,'SWB-Lists'!$A:$C,3,0),0)=0,"NA",VLOOKUP($D14,'Raw Data'!$B:$CQ,VLOOKUP('SWB CaseList'!H$5,'SWB-Lists'!$A:$C,3,0),0)),"NA")</f>
        <v>NA</v>
      </c>
      <c r="I14" s="33" t="str">
        <f>IFERROR(IF(VLOOKUP($D14,'Raw Data'!$B:$CQ,VLOOKUP('SWB CaseList'!I$5,'SWB-Lists'!$A:$C,3,0),0)=0,"NA",VLOOKUP($D14,'Raw Data'!$B:$CQ,VLOOKUP('SWB CaseList'!I$5,'SWB-Lists'!$A:$C,3,0),0)),"NA")</f>
        <v>NA</v>
      </c>
      <c r="J14" s="33" t="str">
        <f>IFERROR(IF(VLOOKUP($D14,'Raw Data'!$B:$CQ,VLOOKUP('SWB CaseList'!J$5,'SWB-Lists'!$A:$C,3,0),0)=0,"NA",VLOOKUP($D14,'Raw Data'!$B:$CQ,VLOOKUP('SWB CaseList'!J$5,'SWB-Lists'!$A:$C,3,0),0)),"NA")</f>
        <v>NA</v>
      </c>
      <c r="K14" s="33" t="str">
        <f>IFERROR(IF(VLOOKUP($D14,'Raw Data'!$B:$CQ,VLOOKUP('SWB CaseList'!K$5,'SWB-Lists'!$A:$C,3,0),0)=0,"NA",VLOOKUP($D14,'Raw Data'!$B:$CQ,VLOOKUP('SWB CaseList'!K$5,'SWB-Lists'!$A:$C,3,0),0)),"NA")</f>
        <v>NA</v>
      </c>
      <c r="L14" s="33" t="str">
        <f>IFERROR(IF(VLOOKUP($D14,'Raw Data'!$B:$CQ,VLOOKUP('SWB CaseList'!L$5,'SWB-Lists'!$A:$C,3,0),0)=0,"NA",VLOOKUP($D14,'Raw Data'!$B:$CQ,VLOOKUP('SWB CaseList'!L$5,'SWB-Lists'!$A:$C,3,0),0)),"NA")</f>
        <v>NA</v>
      </c>
      <c r="M14" s="33" t="str">
        <f>IFERROR(IF(VLOOKUP($D14,'Raw Data'!$B:$CQ,VLOOKUP('SWB CaseList'!M$5,'SWB-Lists'!$A:$C,3,0),0)=0,"NA",VLOOKUP($D14,'Raw Data'!$B:$CQ,VLOOKUP('SWB CaseList'!M$5,'SWB-Lists'!$A:$C,3,0),0)),"NA")</f>
        <v>NA</v>
      </c>
      <c r="N14" s="43" t="str">
        <f>IFERROR(IF(VLOOKUP($D14,'Raw Data'!$B:$CQ,VLOOKUP('SWB CaseList'!N$5,'SWB-Lists'!$A:$C,3,0),0)=0,"NA",VLOOKUP($D14,'Raw Data'!$B:$CQ,VLOOKUP('SWB CaseList'!N$5,'SWB-Lists'!$A:$C,3,0),0)),"NA")</f>
        <v>NA</v>
      </c>
      <c r="O14" s="44" t="str">
        <f>IFERROR(IF(VLOOKUP($D14,'Raw Data'!$B:$CQ,VLOOKUP('SWB CaseList'!O$5,'SWB-Lists'!$A:$C,3,0),0)=0,"NA",VLOOKUP($D14,'Raw Data'!$B:$CQ,VLOOKUP('SWB CaseList'!O$5,'SWB-Lists'!$A:$C,3,0),0)),"NA")</f>
        <v>NA</v>
      </c>
      <c r="P14" s="45" t="str">
        <f>IFERROR(IF(VLOOKUP($D14,'Raw Data'!$B:$CQ,VLOOKUP('SWB CaseList'!P$5,'SWB-Lists'!$A:$C,3,0),0)=0,"NA",VLOOKUP($D14,'Raw Data'!$B:$CQ,VLOOKUP('SWB CaseList'!P$5,'SWB-Lists'!$A:$C,3,0),0)),"NA")</f>
        <v>NA</v>
      </c>
      <c r="Q14" s="33" t="str">
        <f>IFERROR(IF(VLOOKUP($D14,'Raw Data'!$B:$CQ,VLOOKUP('SWB CaseList'!Q$5,'SWB-Lists'!$A:$C,3,0),0)=0,"NA",VLOOKUP($D14,'Raw Data'!$B:$CQ,VLOOKUP('SWB CaseList'!Q$5,'SWB-Lists'!$A:$C,3,0),0)),"NA")</f>
        <v>NA</v>
      </c>
      <c r="R14" s="33" t="str">
        <f>IFERROR(IF(VLOOKUP($D14,'Raw Data'!$B:$CQ,VLOOKUP('SWB CaseList'!R$5,'SWB-Lists'!$A:$C,3,0),0)=0,"NA",VLOOKUP($D14,'Raw Data'!$B:$CQ,VLOOKUP('SWB CaseList'!R$5,'SWB-Lists'!$A:$C,3,0),0)),"NA")</f>
        <v>NA</v>
      </c>
      <c r="S14" s="33" t="str">
        <f>IFERROR(IF(VLOOKUP($D14,'Raw Data'!$B:$CQ,VLOOKUP('SWB CaseList'!S$5,'SWB-Lists'!$A:$C,3,0),0)=0,"NA",VLOOKUP($D14,'Raw Data'!$B:$CQ,VLOOKUP('SWB CaseList'!S$5,'SWB-Lists'!$A:$C,3,0),0)),"NA")</f>
        <v>NA</v>
      </c>
      <c r="T14" s="33" t="str">
        <f>IFERROR(IF(VLOOKUP($D14,'Raw Data'!$B:$CQ,VLOOKUP('SWB CaseList'!T$5,'SWB-Lists'!$A:$C,3,0),0)=0,"NA",VLOOKUP($D14,'Raw Data'!$B:$CQ,VLOOKUP('SWB CaseList'!T$5,'SWB-Lists'!$A:$C,3,0),0)),"NA")</f>
        <v>NA</v>
      </c>
      <c r="U14" s="33" t="str">
        <f>IFERROR(IF(VLOOKUP($D14,'Raw Data'!$B:$CQ,VLOOKUP('SWB CaseList'!U$5,'SWB-Lists'!$A:$C,3,0),0)=0,"NA",VLOOKUP($D14,'Raw Data'!$B:$CQ,VLOOKUP('SWB CaseList'!U$5,'SWB-Lists'!$A:$C,3,0),0)),"NA")</f>
        <v>NA</v>
      </c>
      <c r="V14" s="33" t="str">
        <f>IFERROR(IF(VLOOKUP($D14,'Raw Data'!$B:$CQ,VLOOKUP('SWB CaseList'!V$5,'SWB-Lists'!$A:$C,3,0),0)=0,"NA",VLOOKUP($D14,'Raw Data'!$B:$CQ,VLOOKUP('SWB CaseList'!V$5,'SWB-Lists'!$A:$C,3,0),0)),"NA")</f>
        <v>NA</v>
      </c>
      <c r="W14" s="33" t="str">
        <f>IFERROR(IF(VLOOKUP($D14,'Raw Data'!$B:$CQ,VLOOKUP('SWB CaseList'!W$5,'SWB-Lists'!$A:$C,3,0),0)=0,"NA",VLOOKUP($D14,'Raw Data'!$B:$CQ,VLOOKUP('SWB CaseList'!W$5,'SWB-Lists'!$A:$C,3,0),0)),"NA")</f>
        <v>NA</v>
      </c>
      <c r="X14" s="33" t="str">
        <f>IFERROR(IF(VLOOKUP($D14,'Raw Data'!$B:$CQ,VLOOKUP('SWB CaseList'!X$5,'SWB-Lists'!$A:$C,3,0),0)=0,"NA",VLOOKUP($D14,'Raw Data'!$B:$CQ,VLOOKUP('SWB CaseList'!X$5,'SWB-Lists'!$A:$C,3,0),0)),"NA")</f>
        <v>NA</v>
      </c>
      <c r="Y14" s="33" t="str">
        <f>IFERROR(IF(VLOOKUP($D14,'Raw Data'!$B:$CQ,VLOOKUP('SWB CaseList'!Y$5,'SWB-Lists'!$A:$C,3,0),0)=0,"NA",VLOOKUP($D14,'Raw Data'!$B:$CQ,VLOOKUP('SWB CaseList'!Y$5,'SWB-Lists'!$A:$C,3,0),0)),"NA")</f>
        <v>NA</v>
      </c>
    </row>
    <row r="15" spans="1:27" x14ac:dyDescent="0.35">
      <c r="A15" s="40"/>
      <c r="B15" s="3" t="s">
        <v>369</v>
      </c>
      <c r="C15" s="3" t="s">
        <v>45</v>
      </c>
      <c r="D15" s="41">
        <v>12394307</v>
      </c>
      <c r="E15" s="2" t="str">
        <f>IFERROR(IF(VLOOKUP($D15,'Raw Data'!$B:$CQ,VLOOKUP('SWB CaseList'!E$5,'SWB-Lists'!$A:$C,3,0),0)=0,"NA",VLOOKUP($D15,'Raw Data'!$B:$CQ,VLOOKUP('SWB CaseList'!E$5,'SWB-Lists'!$A:$C,3,0),0)),"NA")</f>
        <v>NA</v>
      </c>
      <c r="F15" s="42" t="s">
        <v>46</v>
      </c>
      <c r="G15" s="33" t="str">
        <f>IFERROR(IF(VLOOKUP($D15,'Raw Data'!$B:$CQ,VLOOKUP('SWB CaseList'!G$5,'SWB-Lists'!$A:$C,3,0),0)=0,"NA",VLOOKUP($D15,'Raw Data'!$B:$CQ,VLOOKUP('SWB CaseList'!G$5,'SWB-Lists'!$A:$C,3,0),0)),"NA")</f>
        <v>NA</v>
      </c>
      <c r="H15" s="33" t="str">
        <f>IFERROR(IF(VLOOKUP($D15,'Raw Data'!$B:$CQ,VLOOKUP('SWB CaseList'!H$5,'SWB-Lists'!$A:$C,3,0),0)=0,"NA",VLOOKUP($D15,'Raw Data'!$B:$CQ,VLOOKUP('SWB CaseList'!H$5,'SWB-Lists'!$A:$C,3,0),0)),"NA")</f>
        <v>NA</v>
      </c>
      <c r="I15" s="33" t="str">
        <f>IFERROR(IF(VLOOKUP($D15,'Raw Data'!$B:$CQ,VLOOKUP('SWB CaseList'!I$5,'SWB-Lists'!$A:$C,3,0),0)=0,"NA",VLOOKUP($D15,'Raw Data'!$B:$CQ,VLOOKUP('SWB CaseList'!I$5,'SWB-Lists'!$A:$C,3,0),0)),"NA")</f>
        <v>NA</v>
      </c>
      <c r="J15" s="33" t="str">
        <f>IFERROR(IF(VLOOKUP($D15,'Raw Data'!$B:$CQ,VLOOKUP('SWB CaseList'!J$5,'SWB-Lists'!$A:$C,3,0),0)=0,"NA",VLOOKUP($D15,'Raw Data'!$B:$CQ,VLOOKUP('SWB CaseList'!J$5,'SWB-Lists'!$A:$C,3,0),0)),"NA")</f>
        <v>NA</v>
      </c>
      <c r="K15" s="33" t="str">
        <f>IFERROR(IF(VLOOKUP($D15,'Raw Data'!$B:$CQ,VLOOKUP('SWB CaseList'!K$5,'SWB-Lists'!$A:$C,3,0),0)=0,"NA",VLOOKUP($D15,'Raw Data'!$B:$CQ,VLOOKUP('SWB CaseList'!K$5,'SWB-Lists'!$A:$C,3,0),0)),"NA")</f>
        <v>NA</v>
      </c>
      <c r="L15" s="33" t="str">
        <f>IFERROR(IF(VLOOKUP($D15,'Raw Data'!$B:$CQ,VLOOKUP('SWB CaseList'!L$5,'SWB-Lists'!$A:$C,3,0),0)=0,"NA",VLOOKUP($D15,'Raw Data'!$B:$CQ,VLOOKUP('SWB CaseList'!L$5,'SWB-Lists'!$A:$C,3,0),0)),"NA")</f>
        <v>NA</v>
      </c>
      <c r="M15" s="33" t="str">
        <f>IFERROR(IF(VLOOKUP($D15,'Raw Data'!$B:$CQ,VLOOKUP('SWB CaseList'!M$5,'SWB-Lists'!$A:$C,3,0),0)=0,"NA",VLOOKUP($D15,'Raw Data'!$B:$CQ,VLOOKUP('SWB CaseList'!M$5,'SWB-Lists'!$A:$C,3,0),0)),"NA")</f>
        <v>NA</v>
      </c>
      <c r="N15" s="43" t="str">
        <f>IFERROR(IF(VLOOKUP($D15,'Raw Data'!$B:$CQ,VLOOKUP('SWB CaseList'!N$5,'SWB-Lists'!$A:$C,3,0),0)=0,"NA",VLOOKUP($D15,'Raw Data'!$B:$CQ,VLOOKUP('SWB CaseList'!N$5,'SWB-Lists'!$A:$C,3,0),0)),"NA")</f>
        <v>NA</v>
      </c>
      <c r="O15" s="44" t="str">
        <f>IFERROR(IF(VLOOKUP($D15,'Raw Data'!$B:$CQ,VLOOKUP('SWB CaseList'!O$5,'SWB-Lists'!$A:$C,3,0),0)=0,"NA",VLOOKUP($D15,'Raw Data'!$B:$CQ,VLOOKUP('SWB CaseList'!O$5,'SWB-Lists'!$A:$C,3,0),0)),"NA")</f>
        <v>NA</v>
      </c>
      <c r="P15" s="45" t="str">
        <f>IFERROR(IF(VLOOKUP($D15,'Raw Data'!$B:$CQ,VLOOKUP('SWB CaseList'!P$5,'SWB-Lists'!$A:$C,3,0),0)=0,"NA",VLOOKUP($D15,'Raw Data'!$B:$CQ,VLOOKUP('SWB CaseList'!P$5,'SWB-Lists'!$A:$C,3,0),0)),"NA")</f>
        <v>NA</v>
      </c>
      <c r="Q15" s="33" t="str">
        <f>IFERROR(IF(VLOOKUP($D15,'Raw Data'!$B:$CQ,VLOOKUP('SWB CaseList'!Q$5,'SWB-Lists'!$A:$C,3,0),0)=0,"NA",VLOOKUP($D15,'Raw Data'!$B:$CQ,VLOOKUP('SWB CaseList'!Q$5,'SWB-Lists'!$A:$C,3,0),0)),"NA")</f>
        <v>NA</v>
      </c>
      <c r="R15" s="33" t="str">
        <f>IFERROR(IF(VLOOKUP($D15,'Raw Data'!$B:$CQ,VLOOKUP('SWB CaseList'!R$5,'SWB-Lists'!$A:$C,3,0),0)=0,"NA",VLOOKUP($D15,'Raw Data'!$B:$CQ,VLOOKUP('SWB CaseList'!R$5,'SWB-Lists'!$A:$C,3,0),0)),"NA")</f>
        <v>NA</v>
      </c>
      <c r="S15" s="33" t="str">
        <f>IFERROR(IF(VLOOKUP($D15,'Raw Data'!$B:$CQ,VLOOKUP('SWB CaseList'!S$5,'SWB-Lists'!$A:$C,3,0),0)=0,"NA",VLOOKUP($D15,'Raw Data'!$B:$CQ,VLOOKUP('SWB CaseList'!S$5,'SWB-Lists'!$A:$C,3,0),0)),"NA")</f>
        <v>NA</v>
      </c>
      <c r="T15" s="33" t="str">
        <f>IFERROR(IF(VLOOKUP($D15,'Raw Data'!$B:$CQ,VLOOKUP('SWB CaseList'!T$5,'SWB-Lists'!$A:$C,3,0),0)=0,"NA",VLOOKUP($D15,'Raw Data'!$B:$CQ,VLOOKUP('SWB CaseList'!T$5,'SWB-Lists'!$A:$C,3,0),0)),"NA")</f>
        <v>NA</v>
      </c>
      <c r="U15" s="33" t="str">
        <f>IFERROR(IF(VLOOKUP($D15,'Raw Data'!$B:$CQ,VLOOKUP('SWB CaseList'!U$5,'SWB-Lists'!$A:$C,3,0),0)=0,"NA",VLOOKUP($D15,'Raw Data'!$B:$CQ,VLOOKUP('SWB CaseList'!U$5,'SWB-Lists'!$A:$C,3,0),0)),"NA")</f>
        <v>NA</v>
      </c>
      <c r="V15" s="33" t="str">
        <f>IFERROR(IF(VLOOKUP($D15,'Raw Data'!$B:$CQ,VLOOKUP('SWB CaseList'!V$5,'SWB-Lists'!$A:$C,3,0),0)=0,"NA",VLOOKUP($D15,'Raw Data'!$B:$CQ,VLOOKUP('SWB CaseList'!V$5,'SWB-Lists'!$A:$C,3,0),0)),"NA")</f>
        <v>NA</v>
      </c>
      <c r="W15" s="33" t="str">
        <f>IFERROR(IF(VLOOKUP($D15,'Raw Data'!$B:$CQ,VLOOKUP('SWB CaseList'!W$5,'SWB-Lists'!$A:$C,3,0),0)=0,"NA",VLOOKUP($D15,'Raw Data'!$B:$CQ,VLOOKUP('SWB CaseList'!W$5,'SWB-Lists'!$A:$C,3,0),0)),"NA")</f>
        <v>NA</v>
      </c>
      <c r="X15" s="33" t="str">
        <f>IFERROR(IF(VLOOKUP($D15,'Raw Data'!$B:$CQ,VLOOKUP('SWB CaseList'!X$5,'SWB-Lists'!$A:$C,3,0),0)=0,"NA",VLOOKUP($D15,'Raw Data'!$B:$CQ,VLOOKUP('SWB CaseList'!X$5,'SWB-Lists'!$A:$C,3,0),0)),"NA")</f>
        <v>NA</v>
      </c>
      <c r="Y15" s="33" t="str">
        <f>IFERROR(IF(VLOOKUP($D15,'Raw Data'!$B:$CQ,VLOOKUP('SWB CaseList'!Y$5,'SWB-Lists'!$A:$C,3,0),0)=0,"NA",VLOOKUP($D15,'Raw Data'!$B:$CQ,VLOOKUP('SWB CaseList'!Y$5,'SWB-Lists'!$A:$C,3,0),0)),"NA")</f>
        <v>NA</v>
      </c>
    </row>
    <row r="16" spans="1:27" x14ac:dyDescent="0.35">
      <c r="A16" s="40"/>
      <c r="B16" s="3" t="s">
        <v>369</v>
      </c>
      <c r="C16" s="3" t="s">
        <v>45</v>
      </c>
      <c r="D16" s="41">
        <v>12389273</v>
      </c>
      <c r="E16" s="2" t="str">
        <f>IFERROR(IF(VLOOKUP($D16,'Raw Data'!$B:$CQ,VLOOKUP('SWB CaseList'!E$5,'SWB-Lists'!$A:$C,3,0),0)=0,"NA",VLOOKUP($D16,'Raw Data'!$B:$CQ,VLOOKUP('SWB CaseList'!E$5,'SWB-Lists'!$A:$C,3,0),0)),"NA")</f>
        <v>NA</v>
      </c>
      <c r="F16" s="42" t="s">
        <v>46</v>
      </c>
      <c r="G16" s="33" t="str">
        <f>IFERROR(IF(VLOOKUP($D16,'Raw Data'!$B:$CQ,VLOOKUP('SWB CaseList'!G$5,'SWB-Lists'!$A:$C,3,0),0)=0,"NA",VLOOKUP($D16,'Raw Data'!$B:$CQ,VLOOKUP('SWB CaseList'!G$5,'SWB-Lists'!$A:$C,3,0),0)),"NA")</f>
        <v>NA</v>
      </c>
      <c r="H16" s="33" t="str">
        <f>IFERROR(IF(VLOOKUP($D16,'Raw Data'!$B:$CQ,VLOOKUP('SWB CaseList'!H$5,'SWB-Lists'!$A:$C,3,0),0)=0,"NA",VLOOKUP($D16,'Raw Data'!$B:$CQ,VLOOKUP('SWB CaseList'!H$5,'SWB-Lists'!$A:$C,3,0),0)),"NA")</f>
        <v>NA</v>
      </c>
      <c r="I16" s="33" t="str">
        <f>IFERROR(IF(VLOOKUP($D16,'Raw Data'!$B:$CQ,VLOOKUP('SWB CaseList'!I$5,'SWB-Lists'!$A:$C,3,0),0)=0,"NA",VLOOKUP($D16,'Raw Data'!$B:$CQ,VLOOKUP('SWB CaseList'!I$5,'SWB-Lists'!$A:$C,3,0),0)),"NA")</f>
        <v>NA</v>
      </c>
      <c r="J16" s="33" t="str">
        <f>IFERROR(IF(VLOOKUP($D16,'Raw Data'!$B:$CQ,VLOOKUP('SWB CaseList'!J$5,'SWB-Lists'!$A:$C,3,0),0)=0,"NA",VLOOKUP($D16,'Raw Data'!$B:$CQ,VLOOKUP('SWB CaseList'!J$5,'SWB-Lists'!$A:$C,3,0),0)),"NA")</f>
        <v>NA</v>
      </c>
      <c r="K16" s="33" t="str">
        <f>IFERROR(IF(VLOOKUP($D16,'Raw Data'!$B:$CQ,VLOOKUP('SWB CaseList'!K$5,'SWB-Lists'!$A:$C,3,0),0)=0,"NA",VLOOKUP($D16,'Raw Data'!$B:$CQ,VLOOKUP('SWB CaseList'!K$5,'SWB-Lists'!$A:$C,3,0),0)),"NA")</f>
        <v>NA</v>
      </c>
      <c r="L16" s="33" t="str">
        <f>IFERROR(IF(VLOOKUP($D16,'Raw Data'!$B:$CQ,VLOOKUP('SWB CaseList'!L$5,'SWB-Lists'!$A:$C,3,0),0)=0,"NA",VLOOKUP($D16,'Raw Data'!$B:$CQ,VLOOKUP('SWB CaseList'!L$5,'SWB-Lists'!$A:$C,3,0),0)),"NA")</f>
        <v>NA</v>
      </c>
      <c r="M16" s="33" t="str">
        <f>IFERROR(IF(VLOOKUP($D16,'Raw Data'!$B:$CQ,VLOOKUP('SWB CaseList'!M$5,'SWB-Lists'!$A:$C,3,0),0)=0,"NA",VLOOKUP($D16,'Raw Data'!$B:$CQ,VLOOKUP('SWB CaseList'!M$5,'SWB-Lists'!$A:$C,3,0),0)),"NA")</f>
        <v>NA</v>
      </c>
      <c r="N16" s="43" t="str">
        <f>IFERROR(IF(VLOOKUP($D16,'Raw Data'!$B:$CQ,VLOOKUP('SWB CaseList'!N$5,'SWB-Lists'!$A:$C,3,0),0)=0,"NA",VLOOKUP($D16,'Raw Data'!$B:$CQ,VLOOKUP('SWB CaseList'!N$5,'SWB-Lists'!$A:$C,3,0),0)),"NA")</f>
        <v>NA</v>
      </c>
      <c r="O16" s="44" t="str">
        <f>IFERROR(IF(VLOOKUP($D16,'Raw Data'!$B:$CQ,VLOOKUP('SWB CaseList'!O$5,'SWB-Lists'!$A:$C,3,0),0)=0,"NA",VLOOKUP($D16,'Raw Data'!$B:$CQ,VLOOKUP('SWB CaseList'!O$5,'SWB-Lists'!$A:$C,3,0),0)),"NA")</f>
        <v>NA</v>
      </c>
      <c r="P16" s="45" t="str">
        <f>IFERROR(IF(VLOOKUP($D16,'Raw Data'!$B:$CQ,VLOOKUP('SWB CaseList'!P$5,'SWB-Lists'!$A:$C,3,0),0)=0,"NA",VLOOKUP($D16,'Raw Data'!$B:$CQ,VLOOKUP('SWB CaseList'!P$5,'SWB-Lists'!$A:$C,3,0),0)),"NA")</f>
        <v>NA</v>
      </c>
      <c r="Q16" s="33" t="str">
        <f>IFERROR(IF(VLOOKUP($D16,'Raw Data'!$B:$CQ,VLOOKUP('SWB CaseList'!Q$5,'SWB-Lists'!$A:$C,3,0),0)=0,"NA",VLOOKUP($D16,'Raw Data'!$B:$CQ,VLOOKUP('SWB CaseList'!Q$5,'SWB-Lists'!$A:$C,3,0),0)),"NA")</f>
        <v>NA</v>
      </c>
      <c r="R16" s="33" t="str">
        <f>IFERROR(IF(VLOOKUP($D16,'Raw Data'!$B:$CQ,VLOOKUP('SWB CaseList'!R$5,'SWB-Lists'!$A:$C,3,0),0)=0,"NA",VLOOKUP($D16,'Raw Data'!$B:$CQ,VLOOKUP('SWB CaseList'!R$5,'SWB-Lists'!$A:$C,3,0),0)),"NA")</f>
        <v>NA</v>
      </c>
      <c r="S16" s="33" t="str">
        <f>IFERROR(IF(VLOOKUP($D16,'Raw Data'!$B:$CQ,VLOOKUP('SWB CaseList'!S$5,'SWB-Lists'!$A:$C,3,0),0)=0,"NA",VLOOKUP($D16,'Raw Data'!$B:$CQ,VLOOKUP('SWB CaseList'!S$5,'SWB-Lists'!$A:$C,3,0),0)),"NA")</f>
        <v>NA</v>
      </c>
      <c r="T16" s="33" t="str">
        <f>IFERROR(IF(VLOOKUP($D16,'Raw Data'!$B:$CQ,VLOOKUP('SWB CaseList'!T$5,'SWB-Lists'!$A:$C,3,0),0)=0,"NA",VLOOKUP($D16,'Raw Data'!$B:$CQ,VLOOKUP('SWB CaseList'!T$5,'SWB-Lists'!$A:$C,3,0),0)),"NA")</f>
        <v>NA</v>
      </c>
      <c r="U16" s="33" t="str">
        <f>IFERROR(IF(VLOOKUP($D16,'Raw Data'!$B:$CQ,VLOOKUP('SWB CaseList'!U$5,'SWB-Lists'!$A:$C,3,0),0)=0,"NA",VLOOKUP($D16,'Raw Data'!$B:$CQ,VLOOKUP('SWB CaseList'!U$5,'SWB-Lists'!$A:$C,3,0),0)),"NA")</f>
        <v>NA</v>
      </c>
      <c r="V16" s="33" t="str">
        <f>IFERROR(IF(VLOOKUP($D16,'Raw Data'!$B:$CQ,VLOOKUP('SWB CaseList'!V$5,'SWB-Lists'!$A:$C,3,0),0)=0,"NA",VLOOKUP($D16,'Raw Data'!$B:$CQ,VLOOKUP('SWB CaseList'!V$5,'SWB-Lists'!$A:$C,3,0),0)),"NA")</f>
        <v>NA</v>
      </c>
      <c r="W16" s="33" t="str">
        <f>IFERROR(IF(VLOOKUP($D16,'Raw Data'!$B:$CQ,VLOOKUP('SWB CaseList'!W$5,'SWB-Lists'!$A:$C,3,0),0)=0,"NA",VLOOKUP($D16,'Raw Data'!$B:$CQ,VLOOKUP('SWB CaseList'!W$5,'SWB-Lists'!$A:$C,3,0),0)),"NA")</f>
        <v>NA</v>
      </c>
      <c r="X16" s="33" t="str">
        <f>IFERROR(IF(VLOOKUP($D16,'Raw Data'!$B:$CQ,VLOOKUP('SWB CaseList'!X$5,'SWB-Lists'!$A:$C,3,0),0)=0,"NA",VLOOKUP($D16,'Raw Data'!$B:$CQ,VLOOKUP('SWB CaseList'!X$5,'SWB-Lists'!$A:$C,3,0),0)),"NA")</f>
        <v>NA</v>
      </c>
      <c r="Y16" s="33" t="str">
        <f>IFERROR(IF(VLOOKUP($D16,'Raw Data'!$B:$CQ,VLOOKUP('SWB CaseList'!Y$5,'SWB-Lists'!$A:$C,3,0),0)=0,"NA",VLOOKUP($D16,'Raw Data'!$B:$CQ,VLOOKUP('SWB CaseList'!Y$5,'SWB-Lists'!$A:$C,3,0),0)),"NA")</f>
        <v>NA</v>
      </c>
    </row>
    <row r="17" spans="1:25" x14ac:dyDescent="0.35">
      <c r="A17" s="40"/>
      <c r="B17" s="3" t="s">
        <v>369</v>
      </c>
      <c r="C17" s="3" t="s">
        <v>45</v>
      </c>
      <c r="D17" s="41">
        <v>12394312</v>
      </c>
      <c r="E17" s="2" t="str">
        <f>IFERROR(IF(VLOOKUP($D17,'Raw Data'!$B:$CQ,VLOOKUP('SWB CaseList'!E$5,'SWB-Lists'!$A:$C,3,0),0)=0,"NA",VLOOKUP($D17,'Raw Data'!$B:$CQ,VLOOKUP('SWB CaseList'!E$5,'SWB-Lists'!$A:$C,3,0),0)),"NA")</f>
        <v>NA</v>
      </c>
      <c r="F17" s="42" t="s">
        <v>46</v>
      </c>
      <c r="G17" s="33" t="str">
        <f>IFERROR(IF(VLOOKUP($D17,'Raw Data'!$B:$CQ,VLOOKUP('SWB CaseList'!G$5,'SWB-Lists'!$A:$C,3,0),0)=0,"NA",VLOOKUP($D17,'Raw Data'!$B:$CQ,VLOOKUP('SWB CaseList'!G$5,'SWB-Lists'!$A:$C,3,0),0)),"NA")</f>
        <v>NA</v>
      </c>
      <c r="H17" s="33" t="str">
        <f>IFERROR(IF(VLOOKUP($D17,'Raw Data'!$B:$CQ,VLOOKUP('SWB CaseList'!H$5,'SWB-Lists'!$A:$C,3,0),0)=0,"NA",VLOOKUP($D17,'Raw Data'!$B:$CQ,VLOOKUP('SWB CaseList'!H$5,'SWB-Lists'!$A:$C,3,0),0)),"NA")</f>
        <v>NA</v>
      </c>
      <c r="I17" s="33" t="str">
        <f>IFERROR(IF(VLOOKUP($D17,'Raw Data'!$B:$CQ,VLOOKUP('SWB CaseList'!I$5,'SWB-Lists'!$A:$C,3,0),0)=0,"NA",VLOOKUP($D17,'Raw Data'!$B:$CQ,VLOOKUP('SWB CaseList'!I$5,'SWB-Lists'!$A:$C,3,0),0)),"NA")</f>
        <v>NA</v>
      </c>
      <c r="J17" s="33" t="str">
        <f>IFERROR(IF(VLOOKUP($D17,'Raw Data'!$B:$CQ,VLOOKUP('SWB CaseList'!J$5,'SWB-Lists'!$A:$C,3,0),0)=0,"NA",VLOOKUP($D17,'Raw Data'!$B:$CQ,VLOOKUP('SWB CaseList'!J$5,'SWB-Lists'!$A:$C,3,0),0)),"NA")</f>
        <v>NA</v>
      </c>
      <c r="K17" s="33" t="str">
        <f>IFERROR(IF(VLOOKUP($D17,'Raw Data'!$B:$CQ,VLOOKUP('SWB CaseList'!K$5,'SWB-Lists'!$A:$C,3,0),0)=0,"NA",VLOOKUP($D17,'Raw Data'!$B:$CQ,VLOOKUP('SWB CaseList'!K$5,'SWB-Lists'!$A:$C,3,0),0)),"NA")</f>
        <v>NA</v>
      </c>
      <c r="L17" s="33" t="str">
        <f>IFERROR(IF(VLOOKUP($D17,'Raw Data'!$B:$CQ,VLOOKUP('SWB CaseList'!L$5,'SWB-Lists'!$A:$C,3,0),0)=0,"NA",VLOOKUP($D17,'Raw Data'!$B:$CQ,VLOOKUP('SWB CaseList'!L$5,'SWB-Lists'!$A:$C,3,0),0)),"NA")</f>
        <v>NA</v>
      </c>
      <c r="M17" s="33" t="str">
        <f>IFERROR(IF(VLOOKUP($D17,'Raw Data'!$B:$CQ,VLOOKUP('SWB CaseList'!M$5,'SWB-Lists'!$A:$C,3,0),0)=0,"NA",VLOOKUP($D17,'Raw Data'!$B:$CQ,VLOOKUP('SWB CaseList'!M$5,'SWB-Lists'!$A:$C,3,0),0)),"NA")</f>
        <v>NA</v>
      </c>
      <c r="N17" s="43" t="str">
        <f>IFERROR(IF(VLOOKUP($D17,'Raw Data'!$B:$CQ,VLOOKUP('SWB CaseList'!N$5,'SWB-Lists'!$A:$C,3,0),0)=0,"NA",VLOOKUP($D17,'Raw Data'!$B:$CQ,VLOOKUP('SWB CaseList'!N$5,'SWB-Lists'!$A:$C,3,0),0)),"NA")</f>
        <v>NA</v>
      </c>
      <c r="O17" s="44" t="str">
        <f>IFERROR(IF(VLOOKUP($D17,'Raw Data'!$B:$CQ,VLOOKUP('SWB CaseList'!O$5,'SWB-Lists'!$A:$C,3,0),0)=0,"NA",VLOOKUP($D17,'Raw Data'!$B:$CQ,VLOOKUP('SWB CaseList'!O$5,'SWB-Lists'!$A:$C,3,0),0)),"NA")</f>
        <v>NA</v>
      </c>
      <c r="P17" s="45" t="str">
        <f>IFERROR(IF(VLOOKUP($D17,'Raw Data'!$B:$CQ,VLOOKUP('SWB CaseList'!P$5,'SWB-Lists'!$A:$C,3,0),0)=0,"NA",VLOOKUP($D17,'Raw Data'!$B:$CQ,VLOOKUP('SWB CaseList'!P$5,'SWB-Lists'!$A:$C,3,0),0)),"NA")</f>
        <v>NA</v>
      </c>
      <c r="Q17" s="33" t="str">
        <f>IFERROR(IF(VLOOKUP($D17,'Raw Data'!$B:$CQ,VLOOKUP('SWB CaseList'!Q$5,'SWB-Lists'!$A:$C,3,0),0)=0,"NA",VLOOKUP($D17,'Raw Data'!$B:$CQ,VLOOKUP('SWB CaseList'!Q$5,'SWB-Lists'!$A:$C,3,0),0)),"NA")</f>
        <v>NA</v>
      </c>
      <c r="R17" s="33" t="str">
        <f>IFERROR(IF(VLOOKUP($D17,'Raw Data'!$B:$CQ,VLOOKUP('SWB CaseList'!R$5,'SWB-Lists'!$A:$C,3,0),0)=0,"NA",VLOOKUP($D17,'Raw Data'!$B:$CQ,VLOOKUP('SWB CaseList'!R$5,'SWB-Lists'!$A:$C,3,0),0)),"NA")</f>
        <v>NA</v>
      </c>
      <c r="S17" s="33" t="str">
        <f>IFERROR(IF(VLOOKUP($D17,'Raw Data'!$B:$CQ,VLOOKUP('SWB CaseList'!S$5,'SWB-Lists'!$A:$C,3,0),0)=0,"NA",VLOOKUP($D17,'Raw Data'!$B:$CQ,VLOOKUP('SWB CaseList'!S$5,'SWB-Lists'!$A:$C,3,0),0)),"NA")</f>
        <v>NA</v>
      </c>
      <c r="T17" s="33" t="str">
        <f>IFERROR(IF(VLOOKUP($D17,'Raw Data'!$B:$CQ,VLOOKUP('SWB CaseList'!T$5,'SWB-Lists'!$A:$C,3,0),0)=0,"NA",VLOOKUP($D17,'Raw Data'!$B:$CQ,VLOOKUP('SWB CaseList'!T$5,'SWB-Lists'!$A:$C,3,0),0)),"NA")</f>
        <v>NA</v>
      </c>
      <c r="U17" s="33" t="str">
        <f>IFERROR(IF(VLOOKUP($D17,'Raw Data'!$B:$CQ,VLOOKUP('SWB CaseList'!U$5,'SWB-Lists'!$A:$C,3,0),0)=0,"NA",VLOOKUP($D17,'Raw Data'!$B:$CQ,VLOOKUP('SWB CaseList'!U$5,'SWB-Lists'!$A:$C,3,0),0)),"NA")</f>
        <v>NA</v>
      </c>
      <c r="V17" s="33" t="str">
        <f>IFERROR(IF(VLOOKUP($D17,'Raw Data'!$B:$CQ,VLOOKUP('SWB CaseList'!V$5,'SWB-Lists'!$A:$C,3,0),0)=0,"NA",VLOOKUP($D17,'Raw Data'!$B:$CQ,VLOOKUP('SWB CaseList'!V$5,'SWB-Lists'!$A:$C,3,0),0)),"NA")</f>
        <v>NA</v>
      </c>
      <c r="W17" s="33" t="str">
        <f>IFERROR(IF(VLOOKUP($D17,'Raw Data'!$B:$CQ,VLOOKUP('SWB CaseList'!W$5,'SWB-Lists'!$A:$C,3,0),0)=0,"NA",VLOOKUP($D17,'Raw Data'!$B:$CQ,VLOOKUP('SWB CaseList'!W$5,'SWB-Lists'!$A:$C,3,0),0)),"NA")</f>
        <v>NA</v>
      </c>
      <c r="X17" s="33" t="str">
        <f>IFERROR(IF(VLOOKUP($D17,'Raw Data'!$B:$CQ,VLOOKUP('SWB CaseList'!X$5,'SWB-Lists'!$A:$C,3,0),0)=0,"NA",VLOOKUP($D17,'Raw Data'!$B:$CQ,VLOOKUP('SWB CaseList'!X$5,'SWB-Lists'!$A:$C,3,0),0)),"NA")</f>
        <v>NA</v>
      </c>
      <c r="Y17" s="33" t="str">
        <f>IFERROR(IF(VLOOKUP($D17,'Raw Data'!$B:$CQ,VLOOKUP('SWB CaseList'!Y$5,'SWB-Lists'!$A:$C,3,0),0)=0,"NA",VLOOKUP($D17,'Raw Data'!$B:$CQ,VLOOKUP('SWB CaseList'!Y$5,'SWB-Lists'!$A:$C,3,0),0)),"NA")</f>
        <v>NA</v>
      </c>
    </row>
    <row r="18" spans="1:25" x14ac:dyDescent="0.35">
      <c r="A18" s="40"/>
      <c r="B18" s="3" t="s">
        <v>369</v>
      </c>
      <c r="C18" s="3" t="s">
        <v>45</v>
      </c>
      <c r="D18" s="41">
        <v>12389270</v>
      </c>
      <c r="E18" s="2" t="str">
        <f>IFERROR(IF(VLOOKUP($D18,'Raw Data'!$B:$CQ,VLOOKUP('SWB CaseList'!E$5,'SWB-Lists'!$A:$C,3,0),0)=0,"NA",VLOOKUP($D18,'Raw Data'!$B:$CQ,VLOOKUP('SWB CaseList'!E$5,'SWB-Lists'!$A:$C,3,0),0)),"NA")</f>
        <v>NA</v>
      </c>
      <c r="F18" s="42" t="s">
        <v>46</v>
      </c>
      <c r="G18" s="33" t="str">
        <f>IFERROR(IF(VLOOKUP($D18,'Raw Data'!$B:$CQ,VLOOKUP('SWB CaseList'!G$5,'SWB-Lists'!$A:$C,3,0),0)=0,"NA",VLOOKUP($D18,'Raw Data'!$B:$CQ,VLOOKUP('SWB CaseList'!G$5,'SWB-Lists'!$A:$C,3,0),0)),"NA")</f>
        <v>NA</v>
      </c>
      <c r="H18" s="33" t="str">
        <f>IFERROR(IF(VLOOKUP($D18,'Raw Data'!$B:$CQ,VLOOKUP('SWB CaseList'!H$5,'SWB-Lists'!$A:$C,3,0),0)=0,"NA",VLOOKUP($D18,'Raw Data'!$B:$CQ,VLOOKUP('SWB CaseList'!H$5,'SWB-Lists'!$A:$C,3,0),0)),"NA")</f>
        <v>NA</v>
      </c>
      <c r="I18" s="33" t="str">
        <f>IFERROR(IF(VLOOKUP($D18,'Raw Data'!$B:$CQ,VLOOKUP('SWB CaseList'!I$5,'SWB-Lists'!$A:$C,3,0),0)=0,"NA",VLOOKUP($D18,'Raw Data'!$B:$CQ,VLOOKUP('SWB CaseList'!I$5,'SWB-Lists'!$A:$C,3,0),0)),"NA")</f>
        <v>NA</v>
      </c>
      <c r="J18" s="33" t="str">
        <f>IFERROR(IF(VLOOKUP($D18,'Raw Data'!$B:$CQ,VLOOKUP('SWB CaseList'!J$5,'SWB-Lists'!$A:$C,3,0),0)=0,"NA",VLOOKUP($D18,'Raw Data'!$B:$CQ,VLOOKUP('SWB CaseList'!J$5,'SWB-Lists'!$A:$C,3,0),0)),"NA")</f>
        <v>NA</v>
      </c>
      <c r="K18" s="33" t="str">
        <f>IFERROR(IF(VLOOKUP($D18,'Raw Data'!$B:$CQ,VLOOKUP('SWB CaseList'!K$5,'SWB-Lists'!$A:$C,3,0),0)=0,"NA",VLOOKUP($D18,'Raw Data'!$B:$CQ,VLOOKUP('SWB CaseList'!K$5,'SWB-Lists'!$A:$C,3,0),0)),"NA")</f>
        <v>NA</v>
      </c>
      <c r="L18" s="33" t="str">
        <f>IFERROR(IF(VLOOKUP($D18,'Raw Data'!$B:$CQ,VLOOKUP('SWB CaseList'!L$5,'SWB-Lists'!$A:$C,3,0),0)=0,"NA",VLOOKUP($D18,'Raw Data'!$B:$CQ,VLOOKUP('SWB CaseList'!L$5,'SWB-Lists'!$A:$C,3,0),0)),"NA")</f>
        <v>NA</v>
      </c>
      <c r="M18" s="33" t="str">
        <f>IFERROR(IF(VLOOKUP($D18,'Raw Data'!$B:$CQ,VLOOKUP('SWB CaseList'!M$5,'SWB-Lists'!$A:$C,3,0),0)=0,"NA",VLOOKUP($D18,'Raw Data'!$B:$CQ,VLOOKUP('SWB CaseList'!M$5,'SWB-Lists'!$A:$C,3,0),0)),"NA")</f>
        <v>NA</v>
      </c>
      <c r="N18" s="43" t="str">
        <f>IFERROR(IF(VLOOKUP($D18,'Raw Data'!$B:$CQ,VLOOKUP('SWB CaseList'!N$5,'SWB-Lists'!$A:$C,3,0),0)=0,"NA",VLOOKUP($D18,'Raw Data'!$B:$CQ,VLOOKUP('SWB CaseList'!N$5,'SWB-Lists'!$A:$C,3,0),0)),"NA")</f>
        <v>NA</v>
      </c>
      <c r="O18" s="44" t="str">
        <f>IFERROR(IF(VLOOKUP($D18,'Raw Data'!$B:$CQ,VLOOKUP('SWB CaseList'!O$5,'SWB-Lists'!$A:$C,3,0),0)=0,"NA",VLOOKUP($D18,'Raw Data'!$B:$CQ,VLOOKUP('SWB CaseList'!O$5,'SWB-Lists'!$A:$C,3,0),0)),"NA")</f>
        <v>NA</v>
      </c>
      <c r="P18" s="45" t="str">
        <f>IFERROR(IF(VLOOKUP($D18,'Raw Data'!$B:$CQ,VLOOKUP('SWB CaseList'!P$5,'SWB-Lists'!$A:$C,3,0),0)=0,"NA",VLOOKUP($D18,'Raw Data'!$B:$CQ,VLOOKUP('SWB CaseList'!P$5,'SWB-Lists'!$A:$C,3,0),0)),"NA")</f>
        <v>NA</v>
      </c>
      <c r="Q18" s="33" t="str">
        <f>IFERROR(IF(VLOOKUP($D18,'Raw Data'!$B:$CQ,VLOOKUP('SWB CaseList'!Q$5,'SWB-Lists'!$A:$C,3,0),0)=0,"NA",VLOOKUP($D18,'Raw Data'!$B:$CQ,VLOOKUP('SWB CaseList'!Q$5,'SWB-Lists'!$A:$C,3,0),0)),"NA")</f>
        <v>NA</v>
      </c>
      <c r="R18" s="33" t="str">
        <f>IFERROR(IF(VLOOKUP($D18,'Raw Data'!$B:$CQ,VLOOKUP('SWB CaseList'!R$5,'SWB-Lists'!$A:$C,3,0),0)=0,"NA",VLOOKUP($D18,'Raw Data'!$B:$CQ,VLOOKUP('SWB CaseList'!R$5,'SWB-Lists'!$A:$C,3,0),0)),"NA")</f>
        <v>NA</v>
      </c>
      <c r="S18" s="33" t="str">
        <f>IFERROR(IF(VLOOKUP($D18,'Raw Data'!$B:$CQ,VLOOKUP('SWB CaseList'!S$5,'SWB-Lists'!$A:$C,3,0),0)=0,"NA",VLOOKUP($D18,'Raw Data'!$B:$CQ,VLOOKUP('SWB CaseList'!S$5,'SWB-Lists'!$A:$C,3,0),0)),"NA")</f>
        <v>NA</v>
      </c>
      <c r="T18" s="33" t="str">
        <f>IFERROR(IF(VLOOKUP($D18,'Raw Data'!$B:$CQ,VLOOKUP('SWB CaseList'!T$5,'SWB-Lists'!$A:$C,3,0),0)=0,"NA",VLOOKUP($D18,'Raw Data'!$B:$CQ,VLOOKUP('SWB CaseList'!T$5,'SWB-Lists'!$A:$C,3,0),0)),"NA")</f>
        <v>NA</v>
      </c>
      <c r="U18" s="33" t="str">
        <f>IFERROR(IF(VLOOKUP($D18,'Raw Data'!$B:$CQ,VLOOKUP('SWB CaseList'!U$5,'SWB-Lists'!$A:$C,3,0),0)=0,"NA",VLOOKUP($D18,'Raw Data'!$B:$CQ,VLOOKUP('SWB CaseList'!U$5,'SWB-Lists'!$A:$C,3,0),0)),"NA")</f>
        <v>NA</v>
      </c>
      <c r="V18" s="33" t="str">
        <f>IFERROR(IF(VLOOKUP($D18,'Raw Data'!$B:$CQ,VLOOKUP('SWB CaseList'!V$5,'SWB-Lists'!$A:$C,3,0),0)=0,"NA",VLOOKUP($D18,'Raw Data'!$B:$CQ,VLOOKUP('SWB CaseList'!V$5,'SWB-Lists'!$A:$C,3,0),0)),"NA")</f>
        <v>NA</v>
      </c>
      <c r="W18" s="33" t="str">
        <f>IFERROR(IF(VLOOKUP($D18,'Raw Data'!$B:$CQ,VLOOKUP('SWB CaseList'!W$5,'SWB-Lists'!$A:$C,3,0),0)=0,"NA",VLOOKUP($D18,'Raw Data'!$B:$CQ,VLOOKUP('SWB CaseList'!W$5,'SWB-Lists'!$A:$C,3,0),0)),"NA")</f>
        <v>NA</v>
      </c>
      <c r="X18" s="33" t="str">
        <f>IFERROR(IF(VLOOKUP($D18,'Raw Data'!$B:$CQ,VLOOKUP('SWB CaseList'!X$5,'SWB-Lists'!$A:$C,3,0),0)=0,"NA",VLOOKUP($D18,'Raw Data'!$B:$CQ,VLOOKUP('SWB CaseList'!X$5,'SWB-Lists'!$A:$C,3,0),0)),"NA")</f>
        <v>NA</v>
      </c>
      <c r="Y18" s="33" t="str">
        <f>IFERROR(IF(VLOOKUP($D18,'Raw Data'!$B:$CQ,VLOOKUP('SWB CaseList'!Y$5,'SWB-Lists'!$A:$C,3,0),0)=0,"NA",VLOOKUP($D18,'Raw Data'!$B:$CQ,VLOOKUP('SWB CaseList'!Y$5,'SWB-Lists'!$A:$C,3,0),0)),"NA")</f>
        <v>NA</v>
      </c>
    </row>
  </sheetData>
  <dataConsolidate/>
  <mergeCells count="1">
    <mergeCell ref="F2:H3"/>
  </mergeCells>
  <dataValidations count="29">
    <dataValidation type="list" allowBlank="1" showInputMessage="1" showErrorMessage="1" sqref="U5" xr:uid="{0FC70792-EDDA-4B0E-9C41-C28CFB08C2DB}">
      <formula1>"FLA Gender"</formula1>
    </dataValidation>
    <dataValidation type="list" allowBlank="1" showInputMessage="1" showErrorMessage="1" sqref="M5" xr:uid="{AE8BA651-91AC-4255-AC51-669DEEFC4404}">
      <formula1>"Shopper Gender"</formula1>
    </dataValidation>
    <dataValidation type="list" allowBlank="1" showInputMessage="1" showErrorMessage="1" sqref="C5" xr:uid="{1B68053B-2BD2-42EE-9087-97D8584542AE}">
      <formula1>"Business Group"</formula1>
    </dataValidation>
    <dataValidation type="list" allowBlank="1" showInputMessage="1" showErrorMessage="1" sqref="N5" xr:uid="{CCA4B94C-222B-4798-8CB5-144A87FDB722}">
      <formula1>"Shopper Ethnicity"</formula1>
    </dataValidation>
    <dataValidation type="list" allowBlank="1" showInputMessage="1" showErrorMessage="1" sqref="X5" xr:uid="{905E1FE5-0641-4C9D-8547-0FF18C6EE8CF}">
      <formula1>"Final Pass Fail"</formula1>
    </dataValidation>
    <dataValidation type="list" allowBlank="1" showInputMessage="1" showErrorMessage="1" sqref="W5" xr:uid="{89379A4D-41CE-414B-9EB6-E7F52B8AA3D4}">
      <formula1>"Interaction Detail"</formula1>
    </dataValidation>
    <dataValidation type="list" allowBlank="1" showInputMessage="1" showErrorMessage="1" sqref="V5" xr:uid="{911A3B45-9D1C-46A5-BD41-83EE8D067B9B}">
      <formula1>"FLA Description"</formula1>
    </dataValidation>
    <dataValidation type="list" allowBlank="1" showInputMessage="1" showErrorMessage="1" sqref="T5" xr:uid="{FDD6AC32-8560-41A3-BD8B-47C8060AA20F}">
      <formula1>"FLA Name"</formula1>
    </dataValidation>
    <dataValidation type="list" allowBlank="1" showInputMessage="1" showErrorMessage="1" sqref="S5" xr:uid="{65C63FC6-9656-4FF4-8F93-E2FF60110BD5}">
      <formula1>"Scenario Detail"</formula1>
    </dataValidation>
    <dataValidation type="list" allowBlank="1" showInputMessage="1" showErrorMessage="1" sqref="R5" xr:uid="{D11E1127-B6FE-4C85-8927-B015036B7720}">
      <formula1>"Scenario Used"</formula1>
    </dataValidation>
    <dataValidation type="list" allowBlank="1" showInputMessage="1" showErrorMessage="1" sqref="Q5" xr:uid="{F8A4B743-ED56-49A0-836B-31FF709A9962}">
      <formula1>"Time Visit Ended"</formula1>
    </dataValidation>
    <dataValidation type="list" allowBlank="1" showInputMessage="1" showErrorMessage="1" sqref="P5" xr:uid="{59489D94-57B7-4CD0-A89A-D56C0DD302DC}">
      <formula1>"Time Visit Began"</formula1>
    </dataValidation>
    <dataValidation type="list" allowBlank="1" showInputMessage="1" showErrorMessage="1" errorTitle="iWatch" sqref="O5" xr:uid="{E8EADDC9-4865-4868-873C-DCD644553B5B}">
      <formula1>"Date Shop Performed"</formula1>
    </dataValidation>
    <dataValidation type="list" allowBlank="1" showInputMessage="1" showErrorMessage="1" sqref="L5" xr:uid="{7F14C0AC-348B-4BAD-8A37-0B3C16E03DBA}">
      <formula1>"Subject Country"</formula1>
    </dataValidation>
    <dataValidation type="list" allowBlank="1" showInputMessage="1" showErrorMessage="1" sqref="K5" xr:uid="{CCD8227E-A088-48AD-B0D4-015BA39CD4F6}">
      <formula1>"Subject Zip Code"</formula1>
    </dataValidation>
    <dataValidation type="list" allowBlank="1" showInputMessage="1" showErrorMessage="1" sqref="J5" xr:uid="{DDFD7F7D-BB9D-49EB-830D-A00BED24C3E8}">
      <formula1>"Subject State"</formula1>
    </dataValidation>
    <dataValidation type="list" allowBlank="1" showInputMessage="1" showErrorMessage="1" sqref="I5" xr:uid="{EEF2C8A4-EB36-45D9-BB46-1DD982C7A8AB}">
      <formula1>"Subject City"</formula1>
    </dataValidation>
    <dataValidation type="list" allowBlank="1" showInputMessage="1" showErrorMessage="1" sqref="H5" xr:uid="{18EBC8F1-A924-41AC-8191-F4E586115FED}">
      <formula1>"Subject Address"</formula1>
    </dataValidation>
    <dataValidation type="list" allowBlank="1" showInputMessage="1" showErrorMessage="1" sqref="G5" xr:uid="{33A8A878-7164-4CDF-B231-AE7576894F85}">
      <formula1>"Subject Name"</formula1>
    </dataValidation>
    <dataValidation type="list" allowBlank="1" showInputMessage="1" showErrorMessage="1" error="Shop ID should be numeric and should contain upto 11 digits" sqref="D5" xr:uid="{DFBAF5FA-702C-44B2-88F6-A1396238A17E}">
      <formula1>"Shop ID"</formula1>
    </dataValidation>
    <dataValidation type="list" allowBlank="1" showInputMessage="1" showErrorMessage="1" sqref="B5" xr:uid="{A11AAF16-AE8A-4684-B8E8-30589A1CFE63}">
      <formula1>"Interview Type"</formula1>
    </dataValidation>
    <dataValidation type="list" allowBlank="1" showInputMessage="1" showErrorMessage="1" sqref="A5" xr:uid="{2F129450-555D-4C48-8186-832B4E9F6D03}">
      <formula1>"Case ID"</formula1>
    </dataValidation>
    <dataValidation type="list" allowBlank="1" showInputMessage="1" showErrorMessage="1" sqref="U19:U65502 M19:M65502" xr:uid="{DB9371B9-37F8-4677-AF10-A80B8B4EDA97}">
      <formula1>"Male, Female"</formula1>
    </dataValidation>
    <dataValidation type="date" allowBlank="1" showInputMessage="1" showErrorMessage="1" errorTitle="iWatch" error="Invalid date" promptTitle="iWatch" prompt="Please enter correct date format e.g. MM/DD/YY" sqref="O19:O65502" xr:uid="{4DBA83CB-6BC8-429D-8B22-DADBFD3B41AC}">
      <formula1>1</formula1>
      <formula2>2958101</formula2>
    </dataValidation>
    <dataValidation type="list" allowBlank="1" showInputMessage="1" showErrorMessage="1" sqref="X19:X65502" xr:uid="{B6AA912D-9033-4A9C-A4E1-8940B3C0B757}">
      <formula1>"Pass, Fail"</formula1>
    </dataValidation>
    <dataValidation type="list" allowBlank="1" showInputMessage="1" showErrorMessage="1" sqref="F6:F65502" xr:uid="{9395EF96-EDCB-493D-A170-1B655EB5E20C}">
      <formula1>"Agent,Agent Network,Agent Sub Network,Agent Location"</formula1>
    </dataValidation>
    <dataValidation type="custom" allowBlank="1" showInputMessage="1" showErrorMessage="1" error="Shop ID should be numeric and should contain upto 11 digits" sqref="D6:D65502" xr:uid="{34183BE2-6544-4B91-B421-7741DDB1A399}">
      <formula1>AND(LEN(D6)&gt;0,LEN(D6)&lt;12,ISNUMBER(D6))</formula1>
    </dataValidation>
    <dataValidation type="list" allowBlank="1" showInputMessage="1" showErrorMessage="1" sqref="C6:C65502" xr:uid="{75B03E03-5A44-45A3-863A-760D217883B9}">
      <formula1>"GFO"</formula1>
    </dataValidation>
    <dataValidation type="list" allowBlank="1" showInputMessage="1" showErrorMessage="1" sqref="B6:B65502" xr:uid="{A05916A9-788B-4748-A76F-69D74323214C}">
      <formula1>"Mystery Shopping"</formula1>
    </dataValidation>
  </dataValidations>
  <pageMargins left="0.7" right="0.7" top="0.75" bottom="0.75" header="0.3" footer="0.3"/>
  <pageSetup orientation="portrait" r:id="rId1"/>
  <headerFooter>
    <oddFooter xml:space="preserve">&amp;L_x000D_&amp;1#&amp;"Calibri"&amp;10&amp;K000000 Classification: Western Union Unrestricted Internal </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68E27-27B2-49A3-A6EE-457168CE9646}">
  <sheetPr codeName="Sheet5"/>
  <dimension ref="A1:G118"/>
  <sheetViews>
    <sheetView workbookViewId="0">
      <selection activeCell="D35" sqref="D35"/>
    </sheetView>
  </sheetViews>
  <sheetFormatPr defaultRowHeight="14.5" x14ac:dyDescent="0.35"/>
  <cols>
    <col min="1" max="1" width="20.90625" bestFit="1" customWidth="1"/>
    <col min="2" max="2" width="30.54296875" customWidth="1"/>
    <col min="6" max="6" width="23.90625" customWidth="1"/>
  </cols>
  <sheetData>
    <row r="1" spans="1:7" x14ac:dyDescent="0.35">
      <c r="A1" t="s">
        <v>360</v>
      </c>
      <c r="B1" t="s">
        <v>361</v>
      </c>
      <c r="C1" t="s">
        <v>362</v>
      </c>
    </row>
    <row r="2" spans="1:7" x14ac:dyDescent="0.35">
      <c r="A2" t="s">
        <v>3</v>
      </c>
      <c r="B2" t="s">
        <v>47</v>
      </c>
      <c r="C2">
        <v>1</v>
      </c>
      <c r="F2" t="s">
        <v>96</v>
      </c>
      <c r="G2">
        <v>1</v>
      </c>
    </row>
    <row r="3" spans="1:7" x14ac:dyDescent="0.35">
      <c r="A3" t="s">
        <v>4</v>
      </c>
      <c r="B3" t="s">
        <v>48</v>
      </c>
      <c r="C3">
        <v>10</v>
      </c>
      <c r="F3" t="s">
        <v>97</v>
      </c>
      <c r="G3">
        <v>2</v>
      </c>
    </row>
    <row r="4" spans="1:7" x14ac:dyDescent="0.35">
      <c r="A4" t="s">
        <v>6</v>
      </c>
      <c r="B4" t="s">
        <v>49</v>
      </c>
      <c r="C4">
        <v>11</v>
      </c>
      <c r="F4" t="s">
        <v>299</v>
      </c>
      <c r="G4">
        <v>3</v>
      </c>
    </row>
    <row r="5" spans="1:7" x14ac:dyDescent="0.35">
      <c r="A5" t="s">
        <v>7</v>
      </c>
      <c r="B5" t="s">
        <v>50</v>
      </c>
      <c r="C5">
        <v>12</v>
      </c>
      <c r="F5" t="s">
        <v>98</v>
      </c>
      <c r="G5">
        <v>4</v>
      </c>
    </row>
    <row r="6" spans="1:7" x14ac:dyDescent="0.35">
      <c r="A6" t="s">
        <v>8</v>
      </c>
      <c r="B6" t="s">
        <v>51</v>
      </c>
      <c r="C6">
        <v>13</v>
      </c>
      <c r="F6" t="s">
        <v>74</v>
      </c>
      <c r="G6">
        <v>5</v>
      </c>
    </row>
    <row r="7" spans="1:7" x14ac:dyDescent="0.35">
      <c r="A7" t="s">
        <v>9</v>
      </c>
      <c r="B7" t="s">
        <v>52</v>
      </c>
      <c r="C7">
        <v>14</v>
      </c>
      <c r="F7" t="s">
        <v>75</v>
      </c>
      <c r="G7">
        <v>6</v>
      </c>
    </row>
    <row r="8" spans="1:7" x14ac:dyDescent="0.35">
      <c r="A8" t="s">
        <v>10</v>
      </c>
      <c r="B8" t="s">
        <v>53</v>
      </c>
      <c r="C8">
        <v>16</v>
      </c>
      <c r="F8" t="s">
        <v>76</v>
      </c>
      <c r="G8">
        <v>7</v>
      </c>
    </row>
    <row r="9" spans="1:7" x14ac:dyDescent="0.35">
      <c r="A9" t="s">
        <v>11</v>
      </c>
      <c r="B9" t="s">
        <v>54</v>
      </c>
      <c r="C9">
        <v>15</v>
      </c>
      <c r="F9" t="s">
        <v>77</v>
      </c>
      <c r="G9">
        <v>8</v>
      </c>
    </row>
    <row r="10" spans="1:7" x14ac:dyDescent="0.35">
      <c r="A10" t="s">
        <v>349</v>
      </c>
      <c r="B10" t="s">
        <v>62</v>
      </c>
      <c r="C10">
        <v>58</v>
      </c>
      <c r="F10" t="s">
        <v>78</v>
      </c>
      <c r="G10">
        <v>9</v>
      </c>
    </row>
    <row r="11" spans="1:7" x14ac:dyDescent="0.35">
      <c r="A11" t="s">
        <v>351</v>
      </c>
      <c r="B11" t="s">
        <v>363</v>
      </c>
      <c r="C11">
        <v>2</v>
      </c>
      <c r="F11" t="s">
        <v>99</v>
      </c>
      <c r="G11">
        <v>10</v>
      </c>
    </row>
    <row r="12" spans="1:7" x14ac:dyDescent="0.35">
      <c r="A12" t="s">
        <v>352</v>
      </c>
      <c r="B12" t="s">
        <v>57</v>
      </c>
      <c r="C12">
        <v>61</v>
      </c>
      <c r="F12" t="s">
        <v>300</v>
      </c>
      <c r="G12">
        <v>11</v>
      </c>
    </row>
    <row r="13" spans="1:7" x14ac:dyDescent="0.35">
      <c r="A13" t="s">
        <v>353</v>
      </c>
      <c r="B13" t="s">
        <v>59</v>
      </c>
      <c r="C13">
        <v>62</v>
      </c>
      <c r="F13" t="s">
        <v>301</v>
      </c>
      <c r="G13">
        <v>12</v>
      </c>
    </row>
    <row r="14" spans="1:7" x14ac:dyDescent="0.35">
      <c r="A14" t="s">
        <v>354</v>
      </c>
      <c r="B14" t="s">
        <v>60</v>
      </c>
      <c r="C14">
        <v>34</v>
      </c>
      <c r="F14" t="s">
        <v>302</v>
      </c>
      <c r="G14">
        <v>13</v>
      </c>
    </row>
    <row r="15" spans="1:7" x14ac:dyDescent="0.35">
      <c r="A15" t="s">
        <v>356</v>
      </c>
      <c r="B15" t="s">
        <v>61</v>
      </c>
      <c r="C15">
        <v>63</v>
      </c>
      <c r="F15" t="s">
        <v>303</v>
      </c>
      <c r="G15">
        <v>14</v>
      </c>
    </row>
    <row r="16" spans="1:7" x14ac:dyDescent="0.35">
      <c r="A16" t="s">
        <v>357</v>
      </c>
      <c r="B16" t="s">
        <v>62</v>
      </c>
      <c r="C16">
        <v>66</v>
      </c>
      <c r="F16" t="s">
        <v>304</v>
      </c>
      <c r="G16">
        <v>15</v>
      </c>
    </row>
    <row r="17" spans="1:7" x14ac:dyDescent="0.35">
      <c r="A17" t="s">
        <v>358</v>
      </c>
      <c r="B17" t="s">
        <v>63</v>
      </c>
      <c r="C17">
        <v>65</v>
      </c>
      <c r="F17" t="s">
        <v>305</v>
      </c>
      <c r="G17">
        <v>16</v>
      </c>
    </row>
    <row r="18" spans="1:7" x14ac:dyDescent="0.35">
      <c r="A18" t="s">
        <v>359</v>
      </c>
      <c r="B18" t="s">
        <v>72</v>
      </c>
      <c r="C18">
        <v>76</v>
      </c>
      <c r="F18" t="s">
        <v>58</v>
      </c>
      <c r="G18">
        <v>17</v>
      </c>
    </row>
    <row r="19" spans="1:7" x14ac:dyDescent="0.35">
      <c r="A19" t="s">
        <v>12</v>
      </c>
      <c r="B19" t="s">
        <v>55</v>
      </c>
      <c r="C19">
        <v>67</v>
      </c>
      <c r="F19" t="s">
        <v>113</v>
      </c>
      <c r="G19">
        <v>18</v>
      </c>
    </row>
    <row r="20" spans="1:7" x14ac:dyDescent="0.35">
      <c r="A20" t="s">
        <v>13</v>
      </c>
      <c r="B20" t="s">
        <v>55</v>
      </c>
      <c r="C20">
        <v>67</v>
      </c>
      <c r="F20" t="s">
        <v>101</v>
      </c>
      <c r="G20">
        <v>19</v>
      </c>
    </row>
    <row r="21" spans="1:7" x14ac:dyDescent="0.35">
      <c r="A21" t="s">
        <v>355</v>
      </c>
      <c r="B21" t="s">
        <v>364</v>
      </c>
      <c r="C21">
        <v>71</v>
      </c>
      <c r="F21" t="s">
        <v>91</v>
      </c>
      <c r="G21">
        <v>20</v>
      </c>
    </row>
    <row r="22" spans="1:7" x14ac:dyDescent="0.35">
      <c r="F22" t="s">
        <v>87</v>
      </c>
      <c r="G22">
        <v>21</v>
      </c>
    </row>
    <row r="23" spans="1:7" x14ac:dyDescent="0.35">
      <c r="F23" t="s">
        <v>336</v>
      </c>
      <c r="G23">
        <v>22</v>
      </c>
    </row>
    <row r="24" spans="1:7" x14ac:dyDescent="0.35">
      <c r="F24" t="s">
        <v>93</v>
      </c>
      <c r="G24">
        <v>23</v>
      </c>
    </row>
    <row r="25" spans="1:7" x14ac:dyDescent="0.35">
      <c r="F25" t="s">
        <v>107</v>
      </c>
      <c r="G25">
        <v>24</v>
      </c>
    </row>
    <row r="26" spans="1:7" x14ac:dyDescent="0.35">
      <c r="F26" t="s">
        <v>343</v>
      </c>
      <c r="G26">
        <v>25</v>
      </c>
    </row>
    <row r="27" spans="1:7" x14ac:dyDescent="0.35">
      <c r="F27" t="s">
        <v>344</v>
      </c>
      <c r="G27">
        <v>26</v>
      </c>
    </row>
    <row r="28" spans="1:7" x14ac:dyDescent="0.35">
      <c r="F28" t="s">
        <v>108</v>
      </c>
      <c r="G28">
        <v>27</v>
      </c>
    </row>
    <row r="29" spans="1:7" x14ac:dyDescent="0.35">
      <c r="F29" t="s">
        <v>64</v>
      </c>
      <c r="G29">
        <v>28</v>
      </c>
    </row>
    <row r="30" spans="1:7" x14ac:dyDescent="0.35">
      <c r="F30" t="s">
        <v>109</v>
      </c>
      <c r="G30">
        <v>29</v>
      </c>
    </row>
    <row r="31" spans="1:7" x14ac:dyDescent="0.35">
      <c r="F31" t="s">
        <v>94</v>
      </c>
      <c r="G31">
        <v>30</v>
      </c>
    </row>
    <row r="32" spans="1:7" x14ac:dyDescent="0.35">
      <c r="F32" t="s">
        <v>95</v>
      </c>
      <c r="G32">
        <v>31</v>
      </c>
    </row>
    <row r="33" spans="6:7" x14ac:dyDescent="0.35">
      <c r="F33" t="s">
        <v>117</v>
      </c>
      <c r="G33">
        <v>32</v>
      </c>
    </row>
    <row r="34" spans="6:7" x14ac:dyDescent="0.35">
      <c r="F34" t="s">
        <v>110</v>
      </c>
      <c r="G34">
        <v>33</v>
      </c>
    </row>
    <row r="35" spans="6:7" x14ac:dyDescent="0.35">
      <c r="F35" t="s">
        <v>112</v>
      </c>
      <c r="G35">
        <v>34</v>
      </c>
    </row>
    <row r="36" spans="6:7" x14ac:dyDescent="0.35">
      <c r="F36" t="s">
        <v>111</v>
      </c>
      <c r="G36">
        <v>35</v>
      </c>
    </row>
    <row r="37" spans="6:7" x14ac:dyDescent="0.35">
      <c r="F37" t="s">
        <v>114</v>
      </c>
      <c r="G37">
        <v>36</v>
      </c>
    </row>
    <row r="38" spans="6:7" x14ac:dyDescent="0.35">
      <c r="F38" t="s">
        <v>115</v>
      </c>
      <c r="G38">
        <v>37</v>
      </c>
    </row>
    <row r="39" spans="6:7" x14ac:dyDescent="0.35">
      <c r="F39" t="s">
        <v>345</v>
      </c>
      <c r="G39">
        <v>38</v>
      </c>
    </row>
    <row r="40" spans="6:7" x14ac:dyDescent="0.35">
      <c r="F40" t="s">
        <v>346</v>
      </c>
      <c r="G40">
        <v>39</v>
      </c>
    </row>
    <row r="41" spans="6:7" x14ac:dyDescent="0.35">
      <c r="F41" t="s">
        <v>347</v>
      </c>
      <c r="G41">
        <v>40</v>
      </c>
    </row>
    <row r="42" spans="6:7" x14ac:dyDescent="0.35">
      <c r="F42" t="s">
        <v>348</v>
      </c>
      <c r="G42">
        <v>41</v>
      </c>
    </row>
    <row r="43" spans="6:7" x14ac:dyDescent="0.35">
      <c r="G43">
        <v>42</v>
      </c>
    </row>
    <row r="44" spans="6:7" x14ac:dyDescent="0.35">
      <c r="G44">
        <v>43</v>
      </c>
    </row>
    <row r="45" spans="6:7" x14ac:dyDescent="0.35">
      <c r="G45">
        <v>44</v>
      </c>
    </row>
    <row r="46" spans="6:7" x14ac:dyDescent="0.35">
      <c r="G46">
        <v>45</v>
      </c>
    </row>
    <row r="47" spans="6:7" x14ac:dyDescent="0.35">
      <c r="G47">
        <v>46</v>
      </c>
    </row>
    <row r="48" spans="6:7" x14ac:dyDescent="0.35">
      <c r="G48">
        <v>47</v>
      </c>
    </row>
    <row r="49" spans="7:7" x14ac:dyDescent="0.35">
      <c r="G49">
        <v>48</v>
      </c>
    </row>
    <row r="50" spans="7:7" x14ac:dyDescent="0.35">
      <c r="G50">
        <v>49</v>
      </c>
    </row>
    <row r="51" spans="7:7" x14ac:dyDescent="0.35">
      <c r="G51">
        <v>50</v>
      </c>
    </row>
    <row r="52" spans="7:7" x14ac:dyDescent="0.35">
      <c r="G52">
        <v>51</v>
      </c>
    </row>
    <row r="53" spans="7:7" x14ac:dyDescent="0.35">
      <c r="G53">
        <v>52</v>
      </c>
    </row>
    <row r="54" spans="7:7" x14ac:dyDescent="0.35">
      <c r="G54">
        <v>53</v>
      </c>
    </row>
    <row r="55" spans="7:7" x14ac:dyDescent="0.35">
      <c r="G55">
        <v>54</v>
      </c>
    </row>
    <row r="56" spans="7:7" x14ac:dyDescent="0.35">
      <c r="G56">
        <v>55</v>
      </c>
    </row>
    <row r="57" spans="7:7" x14ac:dyDescent="0.35">
      <c r="G57">
        <v>56</v>
      </c>
    </row>
    <row r="58" spans="7:7" x14ac:dyDescent="0.35">
      <c r="G58">
        <v>57</v>
      </c>
    </row>
    <row r="59" spans="7:7" x14ac:dyDescent="0.35">
      <c r="G59">
        <v>58</v>
      </c>
    </row>
    <row r="60" spans="7:7" x14ac:dyDescent="0.35">
      <c r="G60">
        <v>59</v>
      </c>
    </row>
    <row r="61" spans="7:7" x14ac:dyDescent="0.35">
      <c r="G61">
        <v>60</v>
      </c>
    </row>
    <row r="62" spans="7:7" x14ac:dyDescent="0.35">
      <c r="G62">
        <v>61</v>
      </c>
    </row>
    <row r="63" spans="7:7" x14ac:dyDescent="0.35">
      <c r="G63">
        <v>62</v>
      </c>
    </row>
    <row r="64" spans="7:7" x14ac:dyDescent="0.35">
      <c r="G64">
        <v>63</v>
      </c>
    </row>
    <row r="65" spans="7:7" x14ac:dyDescent="0.35">
      <c r="G65">
        <v>64</v>
      </c>
    </row>
    <row r="66" spans="7:7" x14ac:dyDescent="0.35">
      <c r="G66">
        <v>65</v>
      </c>
    </row>
    <row r="67" spans="7:7" x14ac:dyDescent="0.35">
      <c r="G67">
        <v>66</v>
      </c>
    </row>
    <row r="68" spans="7:7" x14ac:dyDescent="0.35">
      <c r="G68">
        <v>67</v>
      </c>
    </row>
    <row r="69" spans="7:7" x14ac:dyDescent="0.35">
      <c r="G69">
        <v>68</v>
      </c>
    </row>
    <row r="70" spans="7:7" x14ac:dyDescent="0.35">
      <c r="G70">
        <v>69</v>
      </c>
    </row>
    <row r="71" spans="7:7" x14ac:dyDescent="0.35">
      <c r="G71">
        <v>70</v>
      </c>
    </row>
    <row r="72" spans="7:7" x14ac:dyDescent="0.35">
      <c r="G72">
        <v>71</v>
      </c>
    </row>
    <row r="73" spans="7:7" x14ac:dyDescent="0.35">
      <c r="G73">
        <v>72</v>
      </c>
    </row>
    <row r="74" spans="7:7" x14ac:dyDescent="0.35">
      <c r="G74">
        <v>73</v>
      </c>
    </row>
    <row r="75" spans="7:7" x14ac:dyDescent="0.35">
      <c r="G75">
        <v>74</v>
      </c>
    </row>
    <row r="76" spans="7:7" x14ac:dyDescent="0.35">
      <c r="G76">
        <v>75</v>
      </c>
    </row>
    <row r="77" spans="7:7" x14ac:dyDescent="0.35">
      <c r="G77">
        <v>76</v>
      </c>
    </row>
    <row r="78" spans="7:7" x14ac:dyDescent="0.35">
      <c r="G78">
        <v>77</v>
      </c>
    </row>
    <row r="79" spans="7:7" x14ac:dyDescent="0.35">
      <c r="G79">
        <v>78</v>
      </c>
    </row>
    <row r="80" spans="7:7" x14ac:dyDescent="0.35">
      <c r="G80">
        <v>79</v>
      </c>
    </row>
    <row r="81" spans="7:7" x14ac:dyDescent="0.35">
      <c r="G81">
        <v>80</v>
      </c>
    </row>
    <row r="82" spans="7:7" x14ac:dyDescent="0.35">
      <c r="G82">
        <v>81</v>
      </c>
    </row>
    <row r="83" spans="7:7" x14ac:dyDescent="0.35">
      <c r="G83">
        <v>82</v>
      </c>
    </row>
    <row r="84" spans="7:7" x14ac:dyDescent="0.35">
      <c r="G84">
        <v>83</v>
      </c>
    </row>
    <row r="85" spans="7:7" x14ac:dyDescent="0.35">
      <c r="G85">
        <v>84</v>
      </c>
    </row>
    <row r="86" spans="7:7" x14ac:dyDescent="0.35">
      <c r="G86">
        <v>85</v>
      </c>
    </row>
    <row r="87" spans="7:7" x14ac:dyDescent="0.35">
      <c r="G87">
        <v>86</v>
      </c>
    </row>
    <row r="88" spans="7:7" x14ac:dyDescent="0.35">
      <c r="G88">
        <v>87</v>
      </c>
    </row>
    <row r="89" spans="7:7" x14ac:dyDescent="0.35">
      <c r="G89">
        <v>88</v>
      </c>
    </row>
    <row r="90" spans="7:7" x14ac:dyDescent="0.35">
      <c r="G90">
        <v>89</v>
      </c>
    </row>
    <row r="91" spans="7:7" x14ac:dyDescent="0.35">
      <c r="G91">
        <v>90</v>
      </c>
    </row>
    <row r="92" spans="7:7" x14ac:dyDescent="0.35">
      <c r="G92">
        <v>91</v>
      </c>
    </row>
    <row r="93" spans="7:7" x14ac:dyDescent="0.35">
      <c r="G93">
        <v>92</v>
      </c>
    </row>
    <row r="94" spans="7:7" x14ac:dyDescent="0.35">
      <c r="G94">
        <v>93</v>
      </c>
    </row>
    <row r="95" spans="7:7" x14ac:dyDescent="0.35">
      <c r="G95">
        <v>94</v>
      </c>
    </row>
    <row r="96" spans="7:7" x14ac:dyDescent="0.35">
      <c r="G96">
        <v>95</v>
      </c>
    </row>
    <row r="97" spans="7:7" x14ac:dyDescent="0.35">
      <c r="G97">
        <v>96</v>
      </c>
    </row>
    <row r="98" spans="7:7" x14ac:dyDescent="0.35">
      <c r="G98">
        <v>97</v>
      </c>
    </row>
    <row r="99" spans="7:7" x14ac:dyDescent="0.35">
      <c r="G99">
        <v>98</v>
      </c>
    </row>
    <row r="100" spans="7:7" x14ac:dyDescent="0.35">
      <c r="G100">
        <v>99</v>
      </c>
    </row>
    <row r="101" spans="7:7" x14ac:dyDescent="0.35">
      <c r="G101">
        <v>100</v>
      </c>
    </row>
    <row r="102" spans="7:7" x14ac:dyDescent="0.35">
      <c r="G102">
        <v>101</v>
      </c>
    </row>
    <row r="103" spans="7:7" x14ac:dyDescent="0.35">
      <c r="G103">
        <v>102</v>
      </c>
    </row>
    <row r="104" spans="7:7" x14ac:dyDescent="0.35">
      <c r="G104">
        <v>103</v>
      </c>
    </row>
    <row r="105" spans="7:7" x14ac:dyDescent="0.35">
      <c r="G105">
        <v>104</v>
      </c>
    </row>
    <row r="106" spans="7:7" x14ac:dyDescent="0.35">
      <c r="G106">
        <v>105</v>
      </c>
    </row>
    <row r="107" spans="7:7" x14ac:dyDescent="0.35">
      <c r="G107">
        <v>106</v>
      </c>
    </row>
    <row r="108" spans="7:7" x14ac:dyDescent="0.35">
      <c r="G108">
        <v>107</v>
      </c>
    </row>
    <row r="109" spans="7:7" x14ac:dyDescent="0.35">
      <c r="G109">
        <v>108</v>
      </c>
    </row>
    <row r="110" spans="7:7" x14ac:dyDescent="0.35">
      <c r="G110">
        <v>109</v>
      </c>
    </row>
    <row r="111" spans="7:7" x14ac:dyDescent="0.35">
      <c r="G111">
        <v>110</v>
      </c>
    </row>
    <row r="112" spans="7:7" x14ac:dyDescent="0.35">
      <c r="G112">
        <v>111</v>
      </c>
    </row>
    <row r="113" spans="7:7" x14ac:dyDescent="0.35">
      <c r="G113">
        <v>112</v>
      </c>
    </row>
    <row r="114" spans="7:7" x14ac:dyDescent="0.35">
      <c r="G114">
        <v>113</v>
      </c>
    </row>
    <row r="115" spans="7:7" x14ac:dyDescent="0.35">
      <c r="G115">
        <v>114</v>
      </c>
    </row>
    <row r="116" spans="7:7" x14ac:dyDescent="0.35">
      <c r="G116">
        <v>115</v>
      </c>
    </row>
    <row r="117" spans="7:7" x14ac:dyDescent="0.35">
      <c r="G117">
        <v>116</v>
      </c>
    </row>
    <row r="118" spans="7:7" x14ac:dyDescent="0.35">
      <c r="G118">
        <v>117</v>
      </c>
    </row>
  </sheetData>
  <conditionalFormatting sqref="F2">
    <cfRule type="duplicateValues" dxfId="8" priority="1"/>
  </conditionalFormatting>
  <pageMargins left="0.7" right="0.7" top="0.75" bottom="0.75" header="0.3" footer="0.3"/>
  <headerFooter>
    <oddFooter xml:space="preserve">&amp;L_x000D_&amp;1#&amp;"Calibri"&amp;10&amp;K000000 Classification: Western Union Unrestricted Internal </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72442-AC8E-49D4-905D-A25B41B0A47C}">
  <sheetPr codeName="Sheet3"/>
  <dimension ref="A1:DF468"/>
  <sheetViews>
    <sheetView zoomScaleNormal="100" workbookViewId="0">
      <pane ySplit="1" topLeftCell="A2" activePane="bottomLeft" state="frozen"/>
      <selection pane="bottomLeft" activeCell="A2" sqref="A2:XFD23"/>
    </sheetView>
  </sheetViews>
  <sheetFormatPr defaultRowHeight="14.5" x14ac:dyDescent="0.35"/>
  <cols>
    <col min="1" max="1" width="14.08984375" customWidth="1"/>
    <col min="2" max="2" width="14" bestFit="1" customWidth="1"/>
    <col min="3" max="3" width="16.1796875" style="4" bestFit="1" customWidth="1"/>
    <col min="4" max="4" width="16.36328125" bestFit="1" customWidth="1"/>
    <col min="5" max="5" width="9.453125" customWidth="1"/>
    <col min="6" max="6" width="12.81640625" customWidth="1"/>
    <col min="7" max="7" width="11.08984375" customWidth="1"/>
    <col min="8" max="8" width="13.6328125" customWidth="1"/>
    <col min="9" max="9" width="7.54296875" customWidth="1"/>
    <col min="10" max="10" width="8.36328125" customWidth="1"/>
    <col min="11" max="11" width="16.54296875" customWidth="1"/>
    <col min="12" max="12" width="39.1796875" customWidth="1"/>
    <col min="13" max="13" width="42.36328125" bestFit="1" customWidth="1"/>
    <col min="14" max="14" width="28.1796875" bestFit="1" customWidth="1"/>
    <col min="15" max="15" width="27.54296875" bestFit="1" customWidth="1"/>
    <col min="16" max="16" width="22.6328125" customWidth="1"/>
    <col min="17" max="17" width="9.6328125" bestFit="1" customWidth="1"/>
    <col min="18" max="18" width="11" bestFit="1" customWidth="1"/>
    <col min="19" max="19" width="8.453125" bestFit="1" customWidth="1"/>
    <col min="20" max="20" width="8" bestFit="1" customWidth="1"/>
    <col min="21" max="21" width="8.1796875" bestFit="1" customWidth="1"/>
    <col min="22" max="22" width="12.6328125" customWidth="1"/>
    <col min="23" max="23" width="17.36328125" customWidth="1"/>
    <col min="24" max="24" width="46.90625" customWidth="1"/>
    <col min="25" max="25" width="45.54296875" customWidth="1"/>
    <col min="26" max="26" width="10.1796875" customWidth="1"/>
    <col min="27" max="27" width="35.453125" customWidth="1"/>
    <col min="28" max="28" width="26.90625" customWidth="1"/>
    <col min="29" max="29" width="26.81640625" customWidth="1"/>
    <col min="30" max="30" width="21.36328125" customWidth="1"/>
    <col min="31" max="31" width="21.453125" customWidth="1"/>
    <col min="32" max="32" width="11.08984375" customWidth="1"/>
    <col min="33" max="33" width="8.54296875" customWidth="1"/>
    <col min="34" max="34" width="16.90625" customWidth="1"/>
    <col min="35" max="35" width="37.90625" customWidth="1"/>
    <col min="36" max="58" width="20.54296875" customWidth="1"/>
    <col min="59" max="59" width="17.6328125" customWidth="1"/>
    <col min="60" max="60" width="37.1796875" customWidth="1"/>
    <col min="61" max="61" width="38.36328125" customWidth="1"/>
    <col min="62" max="62" width="16.90625" customWidth="1"/>
    <col min="63" max="63" width="17" customWidth="1"/>
    <col min="64" max="64" width="53.54296875" customWidth="1"/>
    <col min="65" max="65" width="45.90625" customWidth="1"/>
    <col min="66" max="66" width="50.453125" customWidth="1"/>
    <col min="67" max="67" width="15.36328125" customWidth="1"/>
    <col min="68" max="68" width="17.6328125" customWidth="1"/>
    <col min="69" max="69" width="6.90625" customWidth="1"/>
    <col min="70" max="70" width="14.08984375" customWidth="1"/>
    <col min="71" max="71" width="16.54296875" customWidth="1"/>
    <col min="72" max="72" width="52.81640625" customWidth="1"/>
    <col min="73" max="73" width="7.1796875" customWidth="1"/>
    <col min="74" max="74" width="6" customWidth="1"/>
    <col min="75" max="75" width="7.36328125" customWidth="1"/>
    <col min="76" max="76" width="49.36328125" customWidth="1"/>
    <col min="77" max="77" width="41.54296875" customWidth="1"/>
    <col min="78" max="79" width="57.08984375" customWidth="1"/>
    <col min="80" max="80" width="7.54296875" customWidth="1"/>
    <col min="81" max="81" width="90.36328125" customWidth="1"/>
    <col min="82" max="82" width="13.36328125" customWidth="1"/>
    <col min="83" max="83" width="16.54296875" customWidth="1"/>
    <col min="84" max="84" width="33.1796875" customWidth="1"/>
    <col min="85" max="85" width="10.6328125" customWidth="1"/>
    <col min="86" max="86" width="14.54296875" customWidth="1"/>
    <col min="87" max="87" width="10.36328125" customWidth="1"/>
    <col min="88" max="88" width="11.90625" customWidth="1"/>
    <col min="89" max="89" width="27.36328125" customWidth="1"/>
    <col min="90" max="91" width="5.08984375" customWidth="1"/>
    <col min="92" max="92" width="15.6328125" customWidth="1"/>
    <col min="93" max="93" width="20.90625" customWidth="1"/>
    <col min="94" max="94" width="14.54296875" style="35" customWidth="1"/>
    <col min="95" max="95" width="33.453125" bestFit="1" customWidth="1"/>
    <col min="96" max="96" width="34.453125" customWidth="1"/>
  </cols>
  <sheetData>
    <row r="1" spans="1:110" x14ac:dyDescent="0.35">
      <c r="A1" t="s">
        <v>370</v>
      </c>
      <c r="B1" t="s">
        <v>96</v>
      </c>
      <c r="C1" s="4" t="s">
        <v>97</v>
      </c>
      <c r="D1" t="s">
        <v>299</v>
      </c>
      <c r="E1" t="s">
        <v>98</v>
      </c>
      <c r="F1" t="s">
        <v>74</v>
      </c>
      <c r="G1" t="s">
        <v>75</v>
      </c>
      <c r="H1" t="s">
        <v>76</v>
      </c>
      <c r="I1" t="s">
        <v>77</v>
      </c>
      <c r="J1" t="s">
        <v>78</v>
      </c>
      <c r="K1" t="s">
        <v>99</v>
      </c>
      <c r="L1" t="s">
        <v>300</v>
      </c>
      <c r="M1" t="s">
        <v>301</v>
      </c>
      <c r="N1" t="s">
        <v>302</v>
      </c>
      <c r="O1" t="s">
        <v>303</v>
      </c>
      <c r="P1" t="s">
        <v>304</v>
      </c>
      <c r="Q1" t="s">
        <v>305</v>
      </c>
      <c r="R1" t="s">
        <v>58</v>
      </c>
      <c r="S1" t="s">
        <v>113</v>
      </c>
      <c r="T1" t="s">
        <v>306</v>
      </c>
      <c r="U1" t="s">
        <v>307</v>
      </c>
      <c r="V1" t="s">
        <v>79</v>
      </c>
      <c r="W1" t="s">
        <v>100</v>
      </c>
      <c r="X1" t="s">
        <v>80</v>
      </c>
      <c r="Y1" t="s">
        <v>308</v>
      </c>
      <c r="Z1" t="s">
        <v>309</v>
      </c>
      <c r="AA1" t="s">
        <v>310</v>
      </c>
      <c r="AB1" t="s">
        <v>101</v>
      </c>
      <c r="AC1" t="s">
        <v>91</v>
      </c>
      <c r="AD1" t="s">
        <v>311</v>
      </c>
      <c r="AE1" t="s">
        <v>81</v>
      </c>
      <c r="AF1" t="s">
        <v>82</v>
      </c>
      <c r="AG1" t="s">
        <v>83</v>
      </c>
      <c r="AH1" t="s">
        <v>312</v>
      </c>
      <c r="AI1" t="s">
        <v>84</v>
      </c>
      <c r="AJ1" t="s">
        <v>313</v>
      </c>
      <c r="AK1" t="s">
        <v>314</v>
      </c>
      <c r="AL1" t="s">
        <v>315</v>
      </c>
      <c r="AM1" t="s">
        <v>316</v>
      </c>
      <c r="AN1" t="s">
        <v>317</v>
      </c>
      <c r="AO1" t="s">
        <v>318</v>
      </c>
      <c r="AP1" t="s">
        <v>319</v>
      </c>
      <c r="AQ1" t="s">
        <v>320</v>
      </c>
      <c r="AR1" t="s">
        <v>321</v>
      </c>
      <c r="AS1" t="s">
        <v>322</v>
      </c>
      <c r="AT1" t="s">
        <v>323</v>
      </c>
      <c r="AU1" t="s">
        <v>324</v>
      </c>
      <c r="AV1" t="s">
        <v>325</v>
      </c>
      <c r="AW1" t="s">
        <v>326</v>
      </c>
      <c r="AX1" t="s">
        <v>327</v>
      </c>
      <c r="AY1" t="s">
        <v>328</v>
      </c>
      <c r="AZ1" t="s">
        <v>329</v>
      </c>
      <c r="BA1" t="s">
        <v>330</v>
      </c>
      <c r="BB1" t="s">
        <v>331</v>
      </c>
      <c r="BC1" t="s">
        <v>332</v>
      </c>
      <c r="BD1" t="s">
        <v>333</v>
      </c>
      <c r="BE1" t="s">
        <v>334</v>
      </c>
      <c r="BF1" t="s">
        <v>335</v>
      </c>
      <c r="BG1" t="s">
        <v>85</v>
      </c>
      <c r="BH1" t="s">
        <v>86</v>
      </c>
      <c r="BI1" t="s">
        <v>87</v>
      </c>
      <c r="BJ1" t="s">
        <v>57</v>
      </c>
      <c r="BK1" t="s">
        <v>59</v>
      </c>
      <c r="BL1" t="s">
        <v>88</v>
      </c>
      <c r="BM1" t="s">
        <v>89</v>
      </c>
      <c r="BN1" t="s">
        <v>90</v>
      </c>
      <c r="BO1" t="s">
        <v>62</v>
      </c>
      <c r="BP1" t="s">
        <v>336</v>
      </c>
      <c r="BQ1" t="s">
        <v>92</v>
      </c>
      <c r="BR1" t="s">
        <v>337</v>
      </c>
      <c r="BS1" t="s">
        <v>338</v>
      </c>
      <c r="BT1" t="s">
        <v>339</v>
      </c>
      <c r="BU1" t="s">
        <v>340</v>
      </c>
      <c r="BV1" t="s">
        <v>341</v>
      </c>
      <c r="BW1" t="s">
        <v>342</v>
      </c>
      <c r="BX1" t="s">
        <v>93</v>
      </c>
      <c r="BY1" t="s">
        <v>107</v>
      </c>
      <c r="BZ1" t="s">
        <v>343</v>
      </c>
      <c r="CA1" t="s">
        <v>344</v>
      </c>
      <c r="CB1" t="s">
        <v>108</v>
      </c>
      <c r="CC1" t="s">
        <v>64</v>
      </c>
      <c r="CD1" t="s">
        <v>109</v>
      </c>
      <c r="CE1" t="s">
        <v>94</v>
      </c>
      <c r="CF1" t="s">
        <v>95</v>
      </c>
      <c r="CG1" t="s">
        <v>117</v>
      </c>
      <c r="CH1" t="s">
        <v>110</v>
      </c>
      <c r="CI1" t="s">
        <v>112</v>
      </c>
      <c r="CJ1" t="s">
        <v>111</v>
      </c>
      <c r="CK1" t="s">
        <v>114</v>
      </c>
      <c r="CL1" t="s">
        <v>115</v>
      </c>
      <c r="CM1" t="s">
        <v>345</v>
      </c>
      <c r="CN1" t="s">
        <v>346</v>
      </c>
      <c r="CO1" t="s">
        <v>347</v>
      </c>
      <c r="CP1" t="s">
        <v>348</v>
      </c>
      <c r="CQ1" t="s">
        <v>365</v>
      </c>
    </row>
    <row r="2" spans="1:110" s="48" customFormat="1" ht="14" customHeight="1" x14ac:dyDescent="0.35">
      <c r="C2" s="49"/>
      <c r="K2" s="50"/>
      <c r="CP2" s="51"/>
      <c r="CR2" s="52"/>
      <c r="CS2" s="52"/>
      <c r="CT2" s="52"/>
      <c r="CU2" s="52"/>
      <c r="CV2" s="52"/>
      <c r="CW2" s="52"/>
      <c r="CX2" s="52"/>
      <c r="CY2" s="52"/>
      <c r="CZ2" s="52"/>
      <c r="DA2" s="52"/>
      <c r="DB2" s="52"/>
      <c r="DC2" s="52"/>
      <c r="DD2" s="52"/>
      <c r="DE2" s="52"/>
      <c r="DF2" s="52"/>
    </row>
    <row r="3" spans="1:110" s="48" customFormat="1" ht="14" customHeight="1" x14ac:dyDescent="0.35">
      <c r="C3" s="49"/>
      <c r="K3" s="50"/>
      <c r="CP3" s="51"/>
      <c r="CR3" s="52"/>
      <c r="CS3" s="52"/>
      <c r="CT3" s="52"/>
      <c r="CU3" s="52"/>
      <c r="CV3" s="52"/>
      <c r="CW3" s="52"/>
      <c r="CX3" s="52"/>
      <c r="CY3" s="52"/>
      <c r="CZ3" s="52"/>
      <c r="DA3" s="52"/>
      <c r="DB3" s="52"/>
      <c r="DC3" s="52"/>
      <c r="DD3" s="52"/>
      <c r="DE3" s="52"/>
      <c r="DF3" s="52"/>
    </row>
    <row r="4" spans="1:110" s="48" customFormat="1" ht="14" customHeight="1" x14ac:dyDescent="0.35">
      <c r="C4" s="49"/>
      <c r="K4" s="50"/>
      <c r="CP4" s="51"/>
    </row>
    <row r="5" spans="1:110" s="48" customFormat="1" ht="14" customHeight="1" x14ac:dyDescent="0.35">
      <c r="C5" s="49"/>
      <c r="K5" s="50"/>
      <c r="BX5" s="53"/>
      <c r="BY5" s="53"/>
      <c r="CP5" s="51"/>
    </row>
    <row r="6" spans="1:110" s="48" customFormat="1" ht="14" customHeight="1" x14ac:dyDescent="0.35">
      <c r="C6" s="49"/>
      <c r="K6" s="50"/>
      <c r="CP6" s="51"/>
    </row>
    <row r="7" spans="1:110" s="48" customFormat="1" ht="14" customHeight="1" x14ac:dyDescent="0.35">
      <c r="C7" s="49"/>
      <c r="K7" s="50"/>
      <c r="CP7" s="51"/>
    </row>
    <row r="8" spans="1:110" s="48" customFormat="1" x14ac:dyDescent="0.35">
      <c r="C8" s="49"/>
      <c r="K8" s="50"/>
      <c r="CP8" s="51"/>
    </row>
    <row r="9" spans="1:110" s="48" customFormat="1" x14ac:dyDescent="0.35">
      <c r="C9" s="49"/>
      <c r="K9" s="50"/>
      <c r="CP9" s="51"/>
    </row>
    <row r="10" spans="1:110" s="48" customFormat="1" x14ac:dyDescent="0.35">
      <c r="C10" s="49"/>
      <c r="K10" s="50"/>
      <c r="AI10" s="54"/>
      <c r="CP10" s="51"/>
    </row>
    <row r="11" spans="1:110" s="48" customFormat="1" ht="14.4" customHeight="1" x14ac:dyDescent="0.35">
      <c r="C11" s="49"/>
      <c r="K11" s="50"/>
      <c r="CP11" s="51"/>
    </row>
    <row r="12" spans="1:110" s="48" customFormat="1" x14ac:dyDescent="0.35">
      <c r="C12" s="49"/>
      <c r="K12" s="50"/>
      <c r="CP12" s="51"/>
    </row>
    <row r="13" spans="1:110" s="48" customFormat="1" x14ac:dyDescent="0.35">
      <c r="C13" s="49"/>
      <c r="K13" s="50"/>
      <c r="CP13" s="51"/>
    </row>
    <row r="14" spans="1:110" s="48" customFormat="1" ht="12.5" customHeight="1" x14ac:dyDescent="0.35">
      <c r="C14" s="49"/>
      <c r="K14" s="50"/>
      <c r="CP14" s="51"/>
    </row>
    <row r="15" spans="1:110" s="48" customFormat="1" x14ac:dyDescent="0.35">
      <c r="A15" s="52"/>
      <c r="B15" s="52"/>
      <c r="C15" s="55"/>
      <c r="D15" s="52"/>
      <c r="E15" s="52"/>
      <c r="F15" s="52"/>
      <c r="G15" s="52"/>
      <c r="H15" s="52"/>
      <c r="I15" s="52"/>
      <c r="J15" s="52"/>
      <c r="K15" s="56"/>
      <c r="L15" s="52"/>
      <c r="M15" s="52"/>
      <c r="N15" s="52"/>
      <c r="O15" s="52"/>
      <c r="P15" s="52"/>
      <c r="Q15" s="52"/>
      <c r="R15" s="52"/>
      <c r="S15" s="52"/>
      <c r="T15" s="52"/>
      <c r="U15" s="52"/>
      <c r="V15" s="52"/>
      <c r="W15" s="52"/>
      <c r="X15" s="52"/>
      <c r="Y15" s="52"/>
      <c r="Z15" s="52"/>
      <c r="AA15" s="52"/>
      <c r="AB15" s="52"/>
      <c r="AC15" s="52"/>
      <c r="AD15" s="52"/>
      <c r="AE15" s="52"/>
      <c r="AF15" s="52"/>
      <c r="AG15" s="52"/>
      <c r="AH15" s="52"/>
      <c r="AI15" s="52"/>
      <c r="AJ15" s="52"/>
      <c r="AK15" s="52"/>
      <c r="AL15" s="52"/>
      <c r="AM15" s="52"/>
      <c r="AN15" s="52"/>
      <c r="AO15" s="52"/>
      <c r="AP15" s="52"/>
      <c r="AQ15" s="52"/>
      <c r="AR15" s="52"/>
      <c r="AS15" s="52"/>
      <c r="AT15" s="52"/>
      <c r="AU15" s="52"/>
      <c r="AV15" s="52"/>
      <c r="AW15" s="52"/>
      <c r="AX15" s="52"/>
      <c r="AY15" s="52"/>
      <c r="AZ15" s="52"/>
      <c r="BA15" s="52"/>
      <c r="BB15" s="52"/>
      <c r="BC15" s="52"/>
      <c r="BD15" s="52"/>
      <c r="BE15" s="52"/>
      <c r="BF15" s="52"/>
      <c r="BG15" s="52"/>
      <c r="BH15" s="52"/>
      <c r="BI15" s="52"/>
      <c r="BJ15" s="52"/>
      <c r="BK15" s="52"/>
      <c r="BL15" s="52"/>
      <c r="BM15" s="52"/>
      <c r="BN15" s="52"/>
      <c r="BO15" s="52"/>
      <c r="BP15" s="52"/>
      <c r="BQ15" s="52"/>
      <c r="BR15" s="52"/>
      <c r="BS15" s="52"/>
      <c r="BT15" s="52"/>
      <c r="BU15" s="52"/>
      <c r="BV15" s="52"/>
      <c r="BW15" s="52"/>
      <c r="BX15" s="52"/>
      <c r="BY15" s="52"/>
      <c r="BZ15" s="52"/>
      <c r="CA15" s="52"/>
      <c r="CB15" s="52"/>
      <c r="CC15" s="52"/>
      <c r="CD15" s="52"/>
      <c r="CE15" s="52"/>
      <c r="CF15" s="52"/>
      <c r="CG15" s="52"/>
      <c r="CH15" s="52"/>
      <c r="CI15" s="52"/>
      <c r="CJ15" s="52"/>
      <c r="CK15" s="52"/>
      <c r="CL15" s="52"/>
      <c r="CM15" s="52"/>
      <c r="CN15" s="52"/>
      <c r="CO15" s="52"/>
      <c r="CP15" s="57"/>
      <c r="CQ15" s="52"/>
    </row>
    <row r="16" spans="1:110" s="48" customFormat="1" x14ac:dyDescent="0.35">
      <c r="A16" s="52"/>
      <c r="B16" s="52"/>
      <c r="C16" s="55"/>
      <c r="D16" s="52"/>
      <c r="E16" s="52"/>
      <c r="F16" s="52"/>
      <c r="G16" s="52"/>
      <c r="H16" s="52"/>
      <c r="I16" s="52"/>
      <c r="J16" s="52"/>
      <c r="K16" s="56"/>
      <c r="L16" s="52"/>
      <c r="M16" s="52"/>
      <c r="N16" s="52"/>
      <c r="O16" s="52"/>
      <c r="P16" s="52"/>
      <c r="Q16" s="52"/>
      <c r="R16" s="52"/>
      <c r="S16" s="52"/>
      <c r="T16" s="52"/>
      <c r="U16" s="52"/>
      <c r="V16" s="52"/>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2"/>
      <c r="BC16" s="52"/>
      <c r="BD16" s="52"/>
      <c r="BE16" s="52"/>
      <c r="BF16" s="52"/>
      <c r="BG16" s="52"/>
      <c r="BH16" s="52"/>
      <c r="BI16" s="52"/>
      <c r="BJ16" s="52"/>
      <c r="BK16" s="52"/>
      <c r="BL16" s="52"/>
      <c r="BM16" s="52"/>
      <c r="BN16" s="52"/>
      <c r="BO16" s="52"/>
      <c r="BP16" s="52"/>
      <c r="BQ16" s="52"/>
      <c r="BR16" s="52"/>
      <c r="BS16" s="52"/>
      <c r="BT16" s="52"/>
      <c r="BU16" s="52"/>
      <c r="BV16" s="52"/>
      <c r="BW16" s="52"/>
      <c r="BX16" s="52"/>
      <c r="BY16" s="52"/>
      <c r="BZ16" s="52"/>
      <c r="CA16" s="52"/>
      <c r="CB16" s="52"/>
      <c r="CC16" s="52"/>
      <c r="CD16" s="52"/>
      <c r="CE16" s="52"/>
      <c r="CF16" s="52"/>
      <c r="CG16" s="52"/>
      <c r="CH16" s="52"/>
      <c r="CI16" s="52"/>
      <c r="CJ16" s="52"/>
      <c r="CK16" s="52"/>
      <c r="CL16" s="52"/>
      <c r="CM16" s="52"/>
      <c r="CN16" s="52"/>
      <c r="CO16" s="52"/>
      <c r="CP16" s="57"/>
      <c r="CQ16" s="52"/>
    </row>
    <row r="17" spans="3:94" s="52" customFormat="1" x14ac:dyDescent="0.35">
      <c r="C17" s="55"/>
      <c r="K17" s="56"/>
      <c r="CP17" s="57"/>
    </row>
    <row r="18" spans="3:94" s="52" customFormat="1" x14ac:dyDescent="0.35">
      <c r="C18" s="55"/>
      <c r="K18" s="56"/>
      <c r="CP18" s="57"/>
    </row>
    <row r="19" spans="3:94" s="52" customFormat="1" x14ac:dyDescent="0.35">
      <c r="C19" s="55"/>
      <c r="K19" s="56"/>
      <c r="CP19" s="57"/>
    </row>
    <row r="20" spans="3:94" s="52" customFormat="1" x14ac:dyDescent="0.35">
      <c r="C20" s="55"/>
      <c r="K20" s="56"/>
      <c r="CP20" s="57"/>
    </row>
    <row r="21" spans="3:94" s="52" customFormat="1" x14ac:dyDescent="0.35">
      <c r="C21" s="55"/>
      <c r="K21" s="56"/>
      <c r="CP21" s="57"/>
    </row>
    <row r="22" spans="3:94" s="52" customFormat="1" x14ac:dyDescent="0.35">
      <c r="C22" s="55"/>
      <c r="K22" s="56"/>
      <c r="CP22" s="57"/>
    </row>
    <row r="23" spans="3:94" s="48" customFormat="1" x14ac:dyDescent="0.35">
      <c r="C23" s="49"/>
      <c r="K23" s="50"/>
      <c r="CP23" s="51"/>
    </row>
    <row r="24" spans="3:94" x14ac:dyDescent="0.35">
      <c r="K24" s="8"/>
    </row>
    <row r="25" spans="3:94" x14ac:dyDescent="0.35">
      <c r="K25" s="8"/>
    </row>
    <row r="26" spans="3:94" x14ac:dyDescent="0.35">
      <c r="K26" s="8"/>
    </row>
    <row r="27" spans="3:94" x14ac:dyDescent="0.35">
      <c r="K27" s="8"/>
    </row>
    <row r="28" spans="3:94" x14ac:dyDescent="0.35">
      <c r="K28" s="8"/>
    </row>
    <row r="29" spans="3:94" x14ac:dyDescent="0.35">
      <c r="K29" s="8"/>
    </row>
    <row r="30" spans="3:94" x14ac:dyDescent="0.35">
      <c r="K30" s="8"/>
    </row>
    <row r="31" spans="3:94" x14ac:dyDescent="0.35">
      <c r="K31" s="8"/>
    </row>
    <row r="32" spans="3:94" x14ac:dyDescent="0.35">
      <c r="K32" s="8"/>
    </row>
    <row r="33" spans="11:11" x14ac:dyDescent="0.35">
      <c r="K33" s="8"/>
    </row>
    <row r="34" spans="11:11" x14ac:dyDescent="0.35">
      <c r="K34" s="8"/>
    </row>
    <row r="35" spans="11:11" x14ac:dyDescent="0.35">
      <c r="K35" s="8"/>
    </row>
    <row r="36" spans="11:11" x14ac:dyDescent="0.35">
      <c r="K36" s="8"/>
    </row>
    <row r="37" spans="11:11" x14ac:dyDescent="0.35">
      <c r="K37" s="8"/>
    </row>
    <row r="38" spans="11:11" x14ac:dyDescent="0.35">
      <c r="K38" s="8"/>
    </row>
    <row r="39" spans="11:11" x14ac:dyDescent="0.35">
      <c r="K39" s="8"/>
    </row>
    <row r="40" spans="11:11" x14ac:dyDescent="0.35">
      <c r="K40" s="8"/>
    </row>
    <row r="41" spans="11:11" x14ac:dyDescent="0.35">
      <c r="K41" s="8"/>
    </row>
    <row r="42" spans="11:11" x14ac:dyDescent="0.35">
      <c r="K42" s="8"/>
    </row>
    <row r="43" spans="11:11" x14ac:dyDescent="0.35">
      <c r="K43" s="8"/>
    </row>
    <row r="44" spans="11:11" x14ac:dyDescent="0.35">
      <c r="K44" s="8"/>
    </row>
    <row r="45" spans="11:11" x14ac:dyDescent="0.35">
      <c r="K45" s="8"/>
    </row>
    <row r="46" spans="11:11" x14ac:dyDescent="0.35">
      <c r="K46" s="8"/>
    </row>
    <row r="47" spans="11:11" x14ac:dyDescent="0.35">
      <c r="K47" s="8"/>
    </row>
    <row r="48" spans="11:11" x14ac:dyDescent="0.35">
      <c r="K48" s="8"/>
    </row>
    <row r="49" spans="11:11" x14ac:dyDescent="0.35">
      <c r="K49" s="8"/>
    </row>
    <row r="50" spans="11:11" ht="14.4" customHeight="1" x14ac:dyDescent="0.35">
      <c r="K50" s="8"/>
    </row>
    <row r="51" spans="11:11" x14ac:dyDescent="0.35">
      <c r="K51" s="8"/>
    </row>
    <row r="52" spans="11:11" x14ac:dyDescent="0.35">
      <c r="K52" s="8"/>
    </row>
    <row r="53" spans="11:11" x14ac:dyDescent="0.35">
      <c r="K53" s="8"/>
    </row>
    <row r="54" spans="11:11" x14ac:dyDescent="0.35">
      <c r="K54" s="8"/>
    </row>
    <row r="55" spans="11:11" x14ac:dyDescent="0.35">
      <c r="K55" s="8"/>
    </row>
    <row r="56" spans="11:11" x14ac:dyDescent="0.35">
      <c r="K56" s="8"/>
    </row>
    <row r="57" spans="11:11" x14ac:dyDescent="0.35">
      <c r="K57" s="8"/>
    </row>
    <row r="58" spans="11:11" x14ac:dyDescent="0.35">
      <c r="K58" s="8"/>
    </row>
    <row r="59" spans="11:11" ht="13.75" customHeight="1" x14ac:dyDescent="0.35">
      <c r="K59" s="8"/>
    </row>
    <row r="60" spans="11:11" x14ac:dyDescent="0.35">
      <c r="K60" s="8"/>
    </row>
    <row r="61" spans="11:11" x14ac:dyDescent="0.35">
      <c r="K61" s="8"/>
    </row>
    <row r="62" spans="11:11" x14ac:dyDescent="0.35">
      <c r="K62" s="8"/>
    </row>
    <row r="63" spans="11:11" x14ac:dyDescent="0.35">
      <c r="K63" s="8"/>
    </row>
    <row r="64" spans="11:11" x14ac:dyDescent="0.35">
      <c r="K64" s="8"/>
    </row>
    <row r="65" spans="11:11" ht="14.4" customHeight="1" x14ac:dyDescent="0.35">
      <c r="K65" s="8"/>
    </row>
    <row r="66" spans="11:11" x14ac:dyDescent="0.35">
      <c r="K66" s="8"/>
    </row>
    <row r="67" spans="11:11" x14ac:dyDescent="0.35">
      <c r="K67" s="8"/>
    </row>
    <row r="68" spans="11:11" x14ac:dyDescent="0.35">
      <c r="K68" s="8"/>
    </row>
    <row r="69" spans="11:11" x14ac:dyDescent="0.35">
      <c r="K69" s="8"/>
    </row>
    <row r="70" spans="11:11" x14ac:dyDescent="0.35">
      <c r="K70" s="8"/>
    </row>
    <row r="71" spans="11:11" x14ac:dyDescent="0.35">
      <c r="K71" s="8"/>
    </row>
    <row r="72" spans="11:11" x14ac:dyDescent="0.35">
      <c r="K72" s="8"/>
    </row>
    <row r="73" spans="11:11" x14ac:dyDescent="0.35">
      <c r="K73" s="8"/>
    </row>
    <row r="74" spans="11:11" x14ac:dyDescent="0.35">
      <c r="K74" s="8"/>
    </row>
    <row r="75" spans="11:11" x14ac:dyDescent="0.35">
      <c r="K75" s="8"/>
    </row>
    <row r="76" spans="11:11" x14ac:dyDescent="0.35">
      <c r="K76" s="8"/>
    </row>
    <row r="77" spans="11:11" x14ac:dyDescent="0.35">
      <c r="K77" s="8"/>
    </row>
    <row r="78" spans="11:11" x14ac:dyDescent="0.35">
      <c r="K78" s="8"/>
    </row>
    <row r="79" spans="11:11" x14ac:dyDescent="0.35">
      <c r="K79" s="8"/>
    </row>
    <row r="80" spans="11:11" x14ac:dyDescent="0.35">
      <c r="K80" s="8"/>
    </row>
    <row r="81" spans="11:11" x14ac:dyDescent="0.35">
      <c r="K81" s="8"/>
    </row>
    <row r="82" spans="11:11" x14ac:dyDescent="0.35">
      <c r="K82" s="8"/>
    </row>
    <row r="83" spans="11:11" x14ac:dyDescent="0.35">
      <c r="K83" s="8"/>
    </row>
    <row r="84" spans="11:11" x14ac:dyDescent="0.35">
      <c r="K84" s="8"/>
    </row>
    <row r="85" spans="11:11" x14ac:dyDescent="0.35">
      <c r="K85" s="8"/>
    </row>
    <row r="86" spans="11:11" x14ac:dyDescent="0.35">
      <c r="K86" s="8"/>
    </row>
    <row r="87" spans="11:11" x14ac:dyDescent="0.35">
      <c r="K87" s="8"/>
    </row>
    <row r="88" spans="11:11" x14ac:dyDescent="0.35">
      <c r="K88" s="8"/>
    </row>
    <row r="89" spans="11:11" x14ac:dyDescent="0.35">
      <c r="K89" s="8"/>
    </row>
    <row r="90" spans="11:11" x14ac:dyDescent="0.35">
      <c r="K90" s="8"/>
    </row>
    <row r="91" spans="11:11" x14ac:dyDescent="0.35">
      <c r="K91" s="8"/>
    </row>
    <row r="92" spans="11:11" x14ac:dyDescent="0.35">
      <c r="K92" s="8"/>
    </row>
    <row r="93" spans="11:11" x14ac:dyDescent="0.35">
      <c r="K93" s="8"/>
    </row>
    <row r="94" spans="11:11" x14ac:dyDescent="0.35">
      <c r="K94" s="8"/>
    </row>
    <row r="95" spans="11:11" x14ac:dyDescent="0.35">
      <c r="K95" s="8"/>
    </row>
    <row r="96" spans="11:11" x14ac:dyDescent="0.35">
      <c r="K96" s="8"/>
    </row>
    <row r="97" spans="11:11" x14ac:dyDescent="0.35">
      <c r="K97" s="8"/>
    </row>
    <row r="98" spans="11:11" x14ac:dyDescent="0.35">
      <c r="K98" s="8"/>
    </row>
    <row r="99" spans="11:11" x14ac:dyDescent="0.35">
      <c r="K99" s="8"/>
    </row>
    <row r="100" spans="11:11" x14ac:dyDescent="0.35">
      <c r="K100" s="8"/>
    </row>
    <row r="101" spans="11:11" x14ac:dyDescent="0.35">
      <c r="K101" s="8"/>
    </row>
    <row r="102" spans="11:11" x14ac:dyDescent="0.35">
      <c r="K102" s="8"/>
    </row>
    <row r="103" spans="11:11" x14ac:dyDescent="0.35">
      <c r="K103" s="8"/>
    </row>
    <row r="104" spans="11:11" x14ac:dyDescent="0.35">
      <c r="K104" s="8"/>
    </row>
    <row r="105" spans="11:11" x14ac:dyDescent="0.35">
      <c r="K105" s="8"/>
    </row>
    <row r="106" spans="11:11" x14ac:dyDescent="0.35">
      <c r="K106" s="8"/>
    </row>
    <row r="107" spans="11:11" x14ac:dyDescent="0.35">
      <c r="K107" s="8"/>
    </row>
    <row r="108" spans="11:11" x14ac:dyDescent="0.35">
      <c r="K108" s="8"/>
    </row>
    <row r="109" spans="11:11" x14ac:dyDescent="0.35">
      <c r="K109" s="8"/>
    </row>
    <row r="110" spans="11:11" x14ac:dyDescent="0.35">
      <c r="K110" s="8"/>
    </row>
    <row r="111" spans="11:11" x14ac:dyDescent="0.35">
      <c r="K111" s="8"/>
    </row>
    <row r="112" spans="11:11" x14ac:dyDescent="0.35">
      <c r="K112" s="8"/>
    </row>
    <row r="113" spans="11:11" x14ac:dyDescent="0.35">
      <c r="K113" s="8"/>
    </row>
    <row r="114" spans="11:11" x14ac:dyDescent="0.35">
      <c r="K114" s="8"/>
    </row>
    <row r="115" spans="11:11" x14ac:dyDescent="0.35">
      <c r="K115" s="8"/>
    </row>
    <row r="116" spans="11:11" x14ac:dyDescent="0.35">
      <c r="K116" s="8"/>
    </row>
    <row r="117" spans="11:11" x14ac:dyDescent="0.35">
      <c r="K117" s="8"/>
    </row>
    <row r="118" spans="11:11" x14ac:dyDescent="0.35">
      <c r="K118" s="8"/>
    </row>
    <row r="119" spans="11:11" x14ac:dyDescent="0.35">
      <c r="K119" s="8"/>
    </row>
    <row r="120" spans="11:11" x14ac:dyDescent="0.35">
      <c r="K120" s="8"/>
    </row>
    <row r="121" spans="11:11" x14ac:dyDescent="0.35">
      <c r="K121" s="8"/>
    </row>
    <row r="122" spans="11:11" x14ac:dyDescent="0.35">
      <c r="K122" s="8"/>
    </row>
    <row r="123" spans="11:11" x14ac:dyDescent="0.35">
      <c r="K123" s="8"/>
    </row>
    <row r="124" spans="11:11" x14ac:dyDescent="0.35">
      <c r="K124" s="8"/>
    </row>
    <row r="125" spans="11:11" x14ac:dyDescent="0.35">
      <c r="K125" s="8"/>
    </row>
    <row r="126" spans="11:11" x14ac:dyDescent="0.35">
      <c r="K126" s="8"/>
    </row>
    <row r="127" spans="11:11" x14ac:dyDescent="0.35">
      <c r="K127" s="8"/>
    </row>
    <row r="128" spans="11:11" x14ac:dyDescent="0.35">
      <c r="K128" s="8"/>
    </row>
    <row r="129" spans="11:11" x14ac:dyDescent="0.35">
      <c r="K129" s="8"/>
    </row>
    <row r="130" spans="11:11" x14ac:dyDescent="0.35">
      <c r="K130" s="8"/>
    </row>
    <row r="131" spans="11:11" x14ac:dyDescent="0.35">
      <c r="K131" s="8"/>
    </row>
    <row r="132" spans="11:11" x14ac:dyDescent="0.35">
      <c r="K132" s="8"/>
    </row>
    <row r="133" spans="11:11" x14ac:dyDescent="0.35">
      <c r="K133" s="8"/>
    </row>
    <row r="134" spans="11:11" x14ac:dyDescent="0.35">
      <c r="K134" s="8"/>
    </row>
    <row r="135" spans="11:11" x14ac:dyDescent="0.35">
      <c r="K135" s="8"/>
    </row>
    <row r="136" spans="11:11" x14ac:dyDescent="0.35">
      <c r="K136" s="8"/>
    </row>
    <row r="137" spans="11:11" x14ac:dyDescent="0.35">
      <c r="K137" s="8"/>
    </row>
    <row r="138" spans="11:11" x14ac:dyDescent="0.35">
      <c r="K138" s="8"/>
    </row>
    <row r="139" spans="11:11" x14ac:dyDescent="0.35">
      <c r="K139" s="8"/>
    </row>
    <row r="140" spans="11:11" x14ac:dyDescent="0.35">
      <c r="K140" s="8"/>
    </row>
    <row r="141" spans="11:11" x14ac:dyDescent="0.35">
      <c r="K141" s="8"/>
    </row>
    <row r="142" spans="11:11" x14ac:dyDescent="0.35">
      <c r="K142" s="8"/>
    </row>
    <row r="143" spans="11:11" x14ac:dyDescent="0.35">
      <c r="K143" s="8"/>
    </row>
    <row r="144" spans="11:11" x14ac:dyDescent="0.35">
      <c r="K144" s="8"/>
    </row>
    <row r="145" spans="11:11" x14ac:dyDescent="0.35">
      <c r="K145" s="8"/>
    </row>
    <row r="146" spans="11:11" x14ac:dyDescent="0.35">
      <c r="K146" s="8"/>
    </row>
    <row r="147" spans="11:11" x14ac:dyDescent="0.35">
      <c r="K147" s="8"/>
    </row>
    <row r="148" spans="11:11" x14ac:dyDescent="0.35">
      <c r="K148" s="8"/>
    </row>
    <row r="149" spans="11:11" x14ac:dyDescent="0.35">
      <c r="K149" s="8"/>
    </row>
    <row r="150" spans="11:11" x14ac:dyDescent="0.35">
      <c r="K150" s="8"/>
    </row>
    <row r="151" spans="11:11" x14ac:dyDescent="0.35">
      <c r="K151" s="8"/>
    </row>
    <row r="152" spans="11:11" x14ac:dyDescent="0.35">
      <c r="K152" s="8"/>
    </row>
    <row r="153" spans="11:11" x14ac:dyDescent="0.35">
      <c r="K153" s="8"/>
    </row>
    <row r="154" spans="11:11" x14ac:dyDescent="0.35">
      <c r="K154" s="8"/>
    </row>
    <row r="155" spans="11:11" x14ac:dyDescent="0.35">
      <c r="K155" s="8"/>
    </row>
    <row r="156" spans="11:11" x14ac:dyDescent="0.35">
      <c r="K156" s="8"/>
    </row>
    <row r="157" spans="11:11" x14ac:dyDescent="0.35">
      <c r="K157" s="8"/>
    </row>
    <row r="158" spans="11:11" x14ac:dyDescent="0.35">
      <c r="K158" s="8"/>
    </row>
    <row r="159" spans="11:11" x14ac:dyDescent="0.35">
      <c r="K159" s="8"/>
    </row>
    <row r="160" spans="11:11" x14ac:dyDescent="0.35">
      <c r="K160" s="8"/>
    </row>
    <row r="161" spans="11:35" x14ac:dyDescent="0.35">
      <c r="K161" s="8"/>
    </row>
    <row r="162" spans="11:35" x14ac:dyDescent="0.35">
      <c r="K162" s="8"/>
    </row>
    <row r="169" spans="11:35" x14ac:dyDescent="0.35">
      <c r="AI169" s="34"/>
    </row>
    <row r="170" spans="11:35" x14ac:dyDescent="0.35">
      <c r="AI170" s="34"/>
    </row>
    <row r="238" spans="35:35" x14ac:dyDescent="0.35">
      <c r="AI238" s="34"/>
    </row>
    <row r="369" ht="15" customHeight="1" x14ac:dyDescent="0.35"/>
    <row r="466" ht="15" customHeight="1" x14ac:dyDescent="0.35"/>
    <row r="467" ht="15" customHeight="1" x14ac:dyDescent="0.35"/>
    <row r="468" ht="15" customHeight="1" x14ac:dyDescent="0.35"/>
  </sheetData>
  <autoFilter ref="A1:CQ1" xr:uid="{FD272442-AC8E-49D4-905D-A25B41B0A47C}">
    <sortState xmlns:xlrd2="http://schemas.microsoft.com/office/spreadsheetml/2017/richdata2" ref="A2:CQ23">
      <sortCondition descending="1" ref="A1"/>
    </sortState>
  </autoFilter>
  <conditionalFormatting sqref="B1364:B1048576">
    <cfRule type="duplicateValues" dxfId="7" priority="42"/>
  </conditionalFormatting>
  <conditionalFormatting sqref="B1">
    <cfRule type="duplicateValues" dxfId="6" priority="10"/>
  </conditionalFormatting>
  <conditionalFormatting sqref="B652:B1430">
    <cfRule type="duplicateValues" dxfId="5" priority="47"/>
  </conditionalFormatting>
  <conditionalFormatting sqref="B652:B1463">
    <cfRule type="duplicateValues" dxfId="4" priority="48"/>
  </conditionalFormatting>
  <conditionalFormatting sqref="B324:B651">
    <cfRule type="duplicateValues" dxfId="3" priority="2"/>
  </conditionalFormatting>
  <conditionalFormatting sqref="B634:B651">
    <cfRule type="duplicateValues" dxfId="2" priority="3"/>
  </conditionalFormatting>
  <conditionalFormatting sqref="B2:B323">
    <cfRule type="duplicateValues" dxfId="1" priority="49"/>
  </conditionalFormatting>
  <conditionalFormatting sqref="B2:B651">
    <cfRule type="duplicateValues" dxfId="0" priority="50"/>
  </conditionalFormatting>
  <pageMargins left="0.7" right="0.7" top="0.75" bottom="0.75" header="0.3" footer="0.3"/>
  <pageSetup orientation="portrait" horizontalDpi="1200" verticalDpi="1200" r:id="rId1"/>
  <headerFooter>
    <oddFooter xml:space="preserve">&amp;L_x000D_&amp;1#&amp;"Calibri"&amp;10&amp;K000000 Classification: Western Union Unrestricted Internal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0B7C7-64D2-484C-811C-14248876C77C}">
  <sheetPr codeName="Sheet8"/>
  <dimension ref="A1"/>
  <sheetViews>
    <sheetView tabSelected="1" workbookViewId="0">
      <selection activeCell="J6" sqref="J6"/>
    </sheetView>
  </sheetViews>
  <sheetFormatPr defaultRowHeight="14.5" x14ac:dyDescent="0.3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1]!Comparar_Archivos">
                <anchor moveWithCells="1" sizeWithCells="1">
                  <from>
                    <xdr:col>3</xdr:col>
                    <xdr:colOff>69850</xdr:colOff>
                    <xdr:row>2</xdr:row>
                    <xdr:rowOff>69850</xdr:rowOff>
                  </from>
                  <to>
                    <xdr:col>8</xdr:col>
                    <xdr:colOff>107950</xdr:colOff>
                    <xdr:row>8</xdr:row>
                    <xdr:rowOff>88900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E64F5-689E-49C6-9067-1568DA162E9A}">
  <sheetPr codeName="Sheet7"/>
  <dimension ref="A1:B15"/>
  <sheetViews>
    <sheetView workbookViewId="0">
      <selection activeCell="B1" sqref="B1:B15"/>
    </sheetView>
  </sheetViews>
  <sheetFormatPr defaultRowHeight="14.5" x14ac:dyDescent="0.35"/>
  <cols>
    <col min="1" max="1" width="17.81640625" bestFit="1" customWidth="1"/>
    <col min="2" max="2" width="17.81640625" customWidth="1"/>
  </cols>
  <sheetData>
    <row r="1" spans="1:2" x14ac:dyDescent="0.35">
      <c r="A1" s="8">
        <v>10000002132932</v>
      </c>
      <c r="B1" t="str">
        <f>"'"&amp;A1&amp;"',"</f>
        <v>'10000002132932',</v>
      </c>
    </row>
    <row r="2" spans="1:2" x14ac:dyDescent="0.35">
      <c r="A2" s="8">
        <v>10000001481551</v>
      </c>
      <c r="B2" t="str">
        <f t="shared" ref="B2:B15" si="0">"'"&amp;A2&amp;"',"</f>
        <v>'10000001481551',</v>
      </c>
    </row>
    <row r="3" spans="1:2" x14ac:dyDescent="0.35">
      <c r="A3" s="8">
        <v>10000001875182</v>
      </c>
      <c r="B3" t="str">
        <f t="shared" si="0"/>
        <v>'10000001875182',</v>
      </c>
    </row>
    <row r="4" spans="1:2" x14ac:dyDescent="0.35">
      <c r="A4" s="8">
        <v>10000001875266</v>
      </c>
      <c r="B4" t="str">
        <f t="shared" si="0"/>
        <v>'10000001875266',</v>
      </c>
    </row>
    <row r="5" spans="1:2" x14ac:dyDescent="0.35">
      <c r="A5" s="8">
        <v>10000000668862</v>
      </c>
      <c r="B5" t="str">
        <f t="shared" si="0"/>
        <v>'10000000668862',</v>
      </c>
    </row>
    <row r="6" spans="1:2" x14ac:dyDescent="0.35">
      <c r="A6" s="8">
        <v>10000001547394</v>
      </c>
      <c r="B6" t="str">
        <f t="shared" si="0"/>
        <v>'10000001547394',</v>
      </c>
    </row>
    <row r="7" spans="1:2" x14ac:dyDescent="0.35">
      <c r="A7" s="8">
        <v>10000001547235</v>
      </c>
      <c r="B7" t="str">
        <f t="shared" si="0"/>
        <v>'10000001547235',</v>
      </c>
    </row>
    <row r="8" spans="1:2" x14ac:dyDescent="0.35">
      <c r="A8" s="8">
        <v>10000001547391</v>
      </c>
      <c r="B8" t="str">
        <f t="shared" si="0"/>
        <v>'10000001547391',</v>
      </c>
    </row>
    <row r="9" spans="1:2" x14ac:dyDescent="0.35">
      <c r="A9" s="8">
        <v>10000001547175</v>
      </c>
      <c r="B9" t="str">
        <f t="shared" si="0"/>
        <v>'10000001547175',</v>
      </c>
    </row>
    <row r="10" spans="1:2" x14ac:dyDescent="0.35">
      <c r="A10" s="8">
        <v>10000000633332</v>
      </c>
      <c r="B10" t="str">
        <f t="shared" si="0"/>
        <v>'10000000633332',</v>
      </c>
    </row>
    <row r="11" spans="1:2" x14ac:dyDescent="0.35">
      <c r="A11" s="8">
        <v>10000000629640</v>
      </c>
      <c r="B11" t="str">
        <f t="shared" si="0"/>
        <v>'10000000629640',</v>
      </c>
    </row>
    <row r="12" spans="1:2" x14ac:dyDescent="0.35">
      <c r="A12" s="8">
        <v>10000000635228</v>
      </c>
      <c r="B12" t="str">
        <f t="shared" si="0"/>
        <v>'10000000635228',</v>
      </c>
    </row>
    <row r="13" spans="1:2" x14ac:dyDescent="0.35">
      <c r="A13" s="8">
        <v>10000000646599</v>
      </c>
      <c r="B13" t="str">
        <f t="shared" si="0"/>
        <v>'10000000646599',</v>
      </c>
    </row>
    <row r="14" spans="1:2" x14ac:dyDescent="0.35">
      <c r="A14" s="8">
        <v>10000000665359</v>
      </c>
      <c r="B14" t="str">
        <f t="shared" si="0"/>
        <v>'10000000665359',</v>
      </c>
    </row>
    <row r="15" spans="1:2" x14ac:dyDescent="0.35">
      <c r="A15" s="8">
        <v>10000002854696</v>
      </c>
      <c r="B15" t="str">
        <f t="shared" si="0"/>
        <v>'10000002854696',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c971d920-434f-478e-9963-cd0a8fa1272d" xsi:nil="true"/>
    <lcf76f155ced4ddcb4097134ff3c332f xmlns="392164ca-44c5-477c-8d24-9a47e5307fc5">
      <Terms xmlns="http://schemas.microsoft.com/office/infopath/2007/PartnerControls"/>
    </lcf76f155ced4ddcb4097134ff3c332f>
    <TypeofQueries xmlns="392164ca-44c5-477c-8d24-9a47e5307fc5" xsi:nil="true"/>
    <TRGPRPS xmlns="392164ca-44c5-477c-8d24-9a47e5307fc5" xsi:nil="true"/>
    <COMPANY_NAME_V1 xmlns="392164ca-44c5-477c-8d24-9a47e5307fc5" xsi:nil="true"/>
    <DISPOSITION_VALUE xmlns="392164ca-44c5-477c-8d24-9a47e5307fc5" xsi:nil="true"/>
    <INSERT_UPDATE_DT xmlns="392164ca-44c5-477c-8d24-9a47e5307fc5" xsi:nil="true"/>
    <LIFE_CYCLE_EVENT_NAME xmlns="392164ca-44c5-477c-8d24-9a47e5307fc5" xsi:nil="true"/>
    <RESTRICTED_INDUSTRIES xmlns="392164ca-44c5-477c-8d24-9a47e5307fc5" xsi:nil="true"/>
    <CASEREFNO xmlns="392164ca-44c5-477c-8d24-9a47e5307fc5" xsi:nil="true"/>
    <DBA_TRADE_NAMES_ALIAS_V1 xmlns="392164ca-44c5-477c-8d24-9a47e5307fc5" xsi:nil="true"/>
    <ADDRESS xmlns="392164ca-44c5-477c-8d24-9a47e5307fc5"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3CB0B27A225A74B9B46206BE9456632" ma:contentTypeVersion="27" ma:contentTypeDescription="Create a new document." ma:contentTypeScope="" ma:versionID="67ed1c4885b4ad0a46108375b1f90446">
  <xsd:schema xmlns:xsd="http://www.w3.org/2001/XMLSchema" xmlns:xs="http://www.w3.org/2001/XMLSchema" xmlns:p="http://schemas.microsoft.com/office/2006/metadata/properties" xmlns:ns2="392164ca-44c5-477c-8d24-9a47e5307fc5" xmlns:ns3="c971d920-434f-478e-9963-cd0a8fa1272d" targetNamespace="http://schemas.microsoft.com/office/2006/metadata/properties" ma:root="true" ma:fieldsID="bcd58b55f9de1837bff6dfee8b9619f2" ns2:_="" ns3:_="">
    <xsd:import namespace="392164ca-44c5-477c-8d24-9a47e5307fc5"/>
    <xsd:import namespace="c971d920-434f-478e-9963-cd0a8fa1272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element ref="ns2:MediaServiceSearchProperties" minOccurs="0"/>
                <xsd:element ref="ns2:TypeofQueries" minOccurs="0"/>
                <xsd:element ref="ns2:ADDRESS" minOccurs="0"/>
                <xsd:element ref="ns2:INSERT_UPDATE_DT" minOccurs="0"/>
                <xsd:element ref="ns2:DBA_TRADE_NAMES_ALIAS_V1" minOccurs="0"/>
                <xsd:element ref="ns2:COMPANY_NAME_V1" minOccurs="0"/>
                <xsd:element ref="ns2:RESTRICTED_INDUSTRIES" minOccurs="0"/>
                <xsd:element ref="ns2:DISPOSITION_VALUE" minOccurs="0"/>
                <xsd:element ref="ns2:CASEREFNO" minOccurs="0"/>
                <xsd:element ref="ns2:TRGPRPS" minOccurs="0"/>
                <xsd:element ref="ns2:LIFE_CYCLE_EVENT_NA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92164ca-44c5-477c-8d24-9a47e5307f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add3b0b0-5841-46b4-a2c3-e93440383d9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TypeofQueries" ma:index="23" nillable="true" ma:displayName="Description" ma:format="Dropdown" ma:internalName="TypeofQueries">
      <xsd:simpleType>
        <xsd:restriction base="dms:Text">
          <xsd:maxLength value="255"/>
        </xsd:restriction>
      </xsd:simpleType>
    </xsd:element>
    <xsd:element name="ADDRESS" ma:index="24" nillable="true" ma:displayName="ADDRESS" ma:format="Dropdown" ma:internalName="ADDRESS">
      <xsd:simpleType>
        <xsd:restriction base="dms:Text">
          <xsd:maxLength value="255"/>
        </xsd:restriction>
      </xsd:simpleType>
    </xsd:element>
    <xsd:element name="INSERT_UPDATE_DT" ma:index="25" nillable="true" ma:displayName="INSERT_UPDATE_DT" ma:format="DateOnly" ma:internalName="INSERT_UPDATE_DT">
      <xsd:simpleType>
        <xsd:restriction base="dms:DateTime"/>
      </xsd:simpleType>
    </xsd:element>
    <xsd:element name="DBA_TRADE_NAMES_ALIAS_V1" ma:index="26" nillable="true" ma:displayName="DBA_TRADE_NAMES_ALIAS_V1" ma:format="Dropdown" ma:internalName="DBA_TRADE_NAMES_ALIAS_V1">
      <xsd:simpleType>
        <xsd:restriction base="dms:Text">
          <xsd:maxLength value="255"/>
        </xsd:restriction>
      </xsd:simpleType>
    </xsd:element>
    <xsd:element name="COMPANY_NAME_V1" ma:index="27" nillable="true" ma:displayName="COMPANY_NAME_V1" ma:format="Dropdown" ma:internalName="COMPANY_NAME_V1">
      <xsd:simpleType>
        <xsd:restriction base="dms:Text">
          <xsd:maxLength value="255"/>
        </xsd:restriction>
      </xsd:simpleType>
    </xsd:element>
    <xsd:element name="RESTRICTED_INDUSTRIES" ma:index="28" nillable="true" ma:displayName="RESTRICTED_INDUSTRIES" ma:format="Dropdown" ma:internalName="RESTRICTED_INDUSTRIES">
      <xsd:simpleType>
        <xsd:restriction base="dms:Text">
          <xsd:maxLength value="255"/>
        </xsd:restriction>
      </xsd:simpleType>
    </xsd:element>
    <xsd:element name="DISPOSITION_VALUE" ma:index="29" nillable="true" ma:displayName="DISPOSITION_VALUE" ma:format="Dropdown" ma:internalName="DISPOSITION_VALUE">
      <xsd:simpleType>
        <xsd:restriction base="dms:Text">
          <xsd:maxLength value="255"/>
        </xsd:restriction>
      </xsd:simpleType>
    </xsd:element>
    <xsd:element name="CASEREFNO" ma:index="30" nillable="true" ma:displayName="CASEREFNO" ma:format="Dropdown" ma:internalName="CASEREFNO">
      <xsd:simpleType>
        <xsd:restriction base="dms:Text">
          <xsd:maxLength value="255"/>
        </xsd:restriction>
      </xsd:simpleType>
    </xsd:element>
    <xsd:element name="TRGPRPS" ma:index="31" nillable="true" ma:displayName="TRGPRPS" ma:format="Dropdown" ma:internalName="TRGPRPS">
      <xsd:simpleType>
        <xsd:restriction base="dms:Text">
          <xsd:maxLength value="255"/>
        </xsd:restriction>
      </xsd:simpleType>
    </xsd:element>
    <xsd:element name="LIFE_CYCLE_EVENT_NAME" ma:index="32" nillable="true" ma:displayName="LIFE_CYCLE_EVENT_NAME" ma:format="Dropdown" ma:internalName="LIFE_CYCLE_EVENT_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71d920-434f-478e-9963-cd0a8fa1272d"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c1b75c5b-e8af-40af-8476-bf844361d40e}" ma:internalName="TaxCatchAll" ma:showField="CatchAllData" ma:web="c971d920-434f-478e-9963-cd0a8fa1272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657B69B-9201-462E-8563-55D3400C0500}">
  <ds:schemaRefs>
    <ds:schemaRef ds:uri="http://schemas.microsoft.com/office/2006/metadata/properties"/>
    <ds:schemaRef ds:uri="http://schemas.microsoft.com/office/infopath/2007/PartnerControls"/>
    <ds:schemaRef ds:uri="c971d920-434f-478e-9963-cd0a8fa1272d"/>
    <ds:schemaRef ds:uri="392164ca-44c5-477c-8d24-9a47e5307fc5"/>
  </ds:schemaRefs>
</ds:datastoreItem>
</file>

<file path=customXml/itemProps2.xml><?xml version="1.0" encoding="utf-8"?>
<ds:datastoreItem xmlns:ds="http://schemas.openxmlformats.org/officeDocument/2006/customXml" ds:itemID="{000EAAF2-3D2D-4E1D-B4CF-4682056F47EB}">
  <ds:schemaRefs>
    <ds:schemaRef ds:uri="http://schemas.microsoft.com/sharepoint/v3/contenttype/forms"/>
  </ds:schemaRefs>
</ds:datastoreItem>
</file>

<file path=customXml/itemProps3.xml><?xml version="1.0" encoding="utf-8"?>
<ds:datastoreItem xmlns:ds="http://schemas.openxmlformats.org/officeDocument/2006/customXml" ds:itemID="{DD2D1417-48D5-4DBF-B6BD-359B137E7C5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92164ca-44c5-477c-8d24-9a47e5307fc5"/>
    <ds:schemaRef ds:uri="c971d920-434f-478e-9963-cd0a8fa1272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Non-SWB CaseList</vt:lpstr>
      <vt:lpstr>Sheet1</vt:lpstr>
      <vt:lpstr>Non-SWB Lists</vt:lpstr>
      <vt:lpstr>SWB CaseList</vt:lpstr>
      <vt:lpstr>SWB-Lists</vt:lpstr>
      <vt:lpstr>Raw Data</vt:lpstr>
      <vt:lpstr>Sheet3</vt:lpstr>
      <vt:lpstr>Sheet2</vt:lpstr>
    </vt:vector>
  </TitlesOfParts>
  <Manager/>
  <Company>Western Union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Ronald Isaac Cordero</dc:creator>
  <cp:keywords/>
  <dc:description/>
  <cp:lastModifiedBy>Ronald Andres Ruiz Gomez</cp:lastModifiedBy>
  <cp:revision/>
  <dcterms:created xsi:type="dcterms:W3CDTF">2023-08-23T12:30:14Z</dcterms:created>
  <dcterms:modified xsi:type="dcterms:W3CDTF">2026-07-06T20:26:00Z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9f1515f-ae52-4b62-8ae2-5819636ba48f_Enabled">
    <vt:lpwstr>true</vt:lpwstr>
  </property>
  <property fmtid="{D5CDD505-2E9C-101B-9397-08002B2CF9AE}" pid="3" name="MSIP_Label_59f1515f-ae52-4b62-8ae2-5819636ba48f_SetDate">
    <vt:lpwstr>2023-08-23T12:42:01Z</vt:lpwstr>
  </property>
  <property fmtid="{D5CDD505-2E9C-101B-9397-08002B2CF9AE}" pid="4" name="MSIP_Label_59f1515f-ae52-4b62-8ae2-5819636ba48f_Method">
    <vt:lpwstr>Privileged</vt:lpwstr>
  </property>
  <property fmtid="{D5CDD505-2E9C-101B-9397-08002B2CF9AE}" pid="5" name="MSIP_Label_59f1515f-ae52-4b62-8ae2-5819636ba48f_Name">
    <vt:lpwstr>Unrestricted Internal</vt:lpwstr>
  </property>
  <property fmtid="{D5CDD505-2E9C-101B-9397-08002B2CF9AE}" pid="6" name="MSIP_Label_59f1515f-ae52-4b62-8ae2-5819636ba48f_SiteId">
    <vt:lpwstr>ce3a67f2-5a22-4fb8-a511-815f8924cda6</vt:lpwstr>
  </property>
  <property fmtid="{D5CDD505-2E9C-101B-9397-08002B2CF9AE}" pid="7" name="MSIP_Label_59f1515f-ae52-4b62-8ae2-5819636ba48f_ActionId">
    <vt:lpwstr>4b620850-3dd3-42ad-a55e-b97f49f0d9fb</vt:lpwstr>
  </property>
  <property fmtid="{D5CDD505-2E9C-101B-9397-08002B2CF9AE}" pid="8" name="MSIP_Label_59f1515f-ae52-4b62-8ae2-5819636ba48f_ContentBits">
    <vt:lpwstr>2</vt:lpwstr>
  </property>
  <property fmtid="{D5CDD505-2E9C-101B-9397-08002B2CF9AE}" pid="9" name="ContentTypeId">
    <vt:lpwstr>0x01010053CB0B27A225A74B9B46206BE9456632</vt:lpwstr>
  </property>
  <property fmtid="{D5CDD505-2E9C-101B-9397-08002B2CF9AE}" pid="10" name="MediaServiceImageTags">
    <vt:lpwstr/>
  </property>
</Properties>
</file>