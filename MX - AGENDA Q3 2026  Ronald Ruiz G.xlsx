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westernunion.sharepoint.com/sites/RCSLACATeam/Shared Documents/General/LACA Compliance Document Library/1. Program Reviews/4. Individual Trackers/Ronald Andres Ruiz Gomez/2026/Q3/"/>
    </mc:Choice>
  </mc:AlternateContent>
  <xr:revisionPtr revIDLastSave="222" documentId="8_{02487E66-4323-427B-AA71-B8AF80D8DF00}" xr6:coauthVersionLast="47" xr6:coauthVersionMax="47" xr10:uidLastSave="{9E4C2047-6907-40CC-B6AD-5D0697035CBB}"/>
  <bookViews>
    <workbookView xWindow="28680" yWindow="-120" windowWidth="29040" windowHeight="15720" xr2:uid="{C1008FFB-CF58-49DC-A929-C13244209A56}"/>
  </bookViews>
  <sheets>
    <sheet name="Agenda MX Q1 2026" sheetId="3" r:id="rId1"/>
    <sheet name="Sheet1" sheetId="7" r:id="rId2"/>
    <sheet name="List" sheetId="5" state="hidden" r:id="rId3"/>
    <sheet name="DELETED" sheetId="6" r:id="rId4"/>
    <sheet name="WUCOs Time Zone" sheetId="4" state="hidden" r:id="rId5"/>
  </sheets>
  <definedNames>
    <definedName name="_xlnm._FilterDatabase" localSheetId="0" hidden="1">'Agenda MX Q1 2026'!$B$1:$R$38</definedName>
    <definedName name="_xlnm._FilterDatabase" localSheetId="3" hidden="1">DELETED!$A$1:$AG$14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3" l="1"/>
  <c r="F19" i="3"/>
  <c r="F5" i="3"/>
  <c r="F8" i="3"/>
  <c r="F9" i="3"/>
  <c r="F10" i="3"/>
  <c r="F11" i="3"/>
  <c r="F12" i="3"/>
  <c r="F13" i="3"/>
  <c r="F14" i="3"/>
  <c r="F15" i="3"/>
  <c r="F16" i="3"/>
  <c r="F17" i="3"/>
  <c r="F18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6" i="3"/>
  <c r="F34" i="3"/>
  <c r="F35" i="3"/>
  <c r="F36" i="3"/>
  <c r="F37" i="3"/>
  <c r="F38" i="3"/>
  <c r="G7" i="3"/>
  <c r="G19" i="3"/>
  <c r="G5" i="3"/>
  <c r="G8" i="3"/>
  <c r="G9" i="3"/>
  <c r="G10" i="3"/>
  <c r="G11" i="3"/>
  <c r="G12" i="3"/>
  <c r="G13" i="3"/>
  <c r="G14" i="3"/>
  <c r="G15" i="3"/>
  <c r="G16" i="3"/>
  <c r="G17" i="3"/>
  <c r="G18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6" i="3"/>
  <c r="G34" i="3"/>
  <c r="G35" i="3"/>
  <c r="G36" i="3"/>
  <c r="G37" i="3"/>
  <c r="G38" i="3"/>
  <c r="F2" i="3"/>
  <c r="F4" i="3"/>
  <c r="F3" i="3"/>
  <c r="G2" i="3"/>
  <c r="G4" i="3"/>
  <c r="G3" i="3"/>
</calcChain>
</file>

<file path=xl/sharedStrings.xml><?xml version="1.0" encoding="utf-8"?>
<sst xmlns="http://schemas.openxmlformats.org/spreadsheetml/2006/main" count="1160" uniqueCount="366">
  <si>
    <t>Subject ID</t>
  </si>
  <si>
    <t>WUCO</t>
  </si>
  <si>
    <t xml:space="preserve"> VMS</t>
  </si>
  <si>
    <t>Date of Review</t>
  </si>
  <si>
    <t>Day</t>
  </si>
  <si>
    <t>Month</t>
  </si>
  <si>
    <t>WUCO Time</t>
  </si>
  <si>
    <t>Location Time (City &amp; State)</t>
  </si>
  <si>
    <t>CENTRAL TIME CDMX</t>
  </si>
  <si>
    <t>Network Agent Name</t>
  </si>
  <si>
    <t>Subject Name</t>
  </si>
  <si>
    <t>City</t>
  </si>
  <si>
    <t>State</t>
  </si>
  <si>
    <t>Address 1</t>
  </si>
  <si>
    <t>Country</t>
  </si>
  <si>
    <t>Selection Source</t>
  </si>
  <si>
    <t>Agent IDs</t>
  </si>
  <si>
    <t>09:00 - 11:00</t>
  </si>
  <si>
    <t>10:00 - 12:00</t>
  </si>
  <si>
    <t>11:00 - 13:00</t>
  </si>
  <si>
    <t>13:00 - 15:00</t>
  </si>
  <si>
    <t>16:30 - 17:00</t>
  </si>
  <si>
    <t>Timezone</t>
  </si>
  <si>
    <t>Timezone Verano</t>
  </si>
  <si>
    <t>Timezone  Sin Verano</t>
  </si>
  <si>
    <t>January</t>
  </si>
  <si>
    <t>Normal</t>
  </si>
  <si>
    <t>AGUASCALIENTES</t>
  </si>
  <si>
    <t>+1</t>
  </si>
  <si>
    <t>0</t>
  </si>
  <si>
    <t>WUCO Time -2</t>
  </si>
  <si>
    <t>WUCO Time -1</t>
  </si>
  <si>
    <t>WUCO Time 0</t>
  </si>
  <si>
    <t>WUCO Time +1</t>
  </si>
  <si>
    <t>WUCO Time +2</t>
  </si>
  <si>
    <t>MASTER AGENT</t>
  </si>
  <si>
    <t>February</t>
  </si>
  <si>
    <t>BAJA CALIFORNIA</t>
  </si>
  <si>
    <t>-1</t>
  </si>
  <si>
    <t>-2</t>
  </si>
  <si>
    <t>Location Time</t>
  </si>
  <si>
    <t>March</t>
  </si>
  <si>
    <t>BAJA CALIFORNIA NORTE</t>
  </si>
  <si>
    <t>06:00 - 08:00</t>
  </si>
  <si>
    <t>04:00 - 06:00</t>
  </si>
  <si>
    <t>05:00 - 07:00</t>
  </si>
  <si>
    <t>07:00 - 09:00</t>
  </si>
  <si>
    <t>08:00 - 10:00</t>
  </si>
  <si>
    <t>April</t>
  </si>
  <si>
    <t>BAJA CALIFORNIA SUR</t>
  </si>
  <si>
    <t>May</t>
  </si>
  <si>
    <t>CAMPECHE</t>
  </si>
  <si>
    <t>June</t>
  </si>
  <si>
    <t>CHIAPAS</t>
  </si>
  <si>
    <t>July</t>
  </si>
  <si>
    <t>CHIHUAHUA</t>
  </si>
  <si>
    <t>12:00 - 14:00</t>
  </si>
  <si>
    <t>August</t>
  </si>
  <si>
    <t>CIUDAD DE MEXICO</t>
  </si>
  <si>
    <t>September</t>
  </si>
  <si>
    <t>COAHUILA</t>
  </si>
  <si>
    <t>14:00 - 16:00</t>
  </si>
  <si>
    <t>October</t>
  </si>
  <si>
    <t>COLIMA</t>
  </si>
  <si>
    <t>15:00 - 17:00</t>
  </si>
  <si>
    <t>November</t>
  </si>
  <si>
    <t>DISTRITO FEDERAL</t>
  </si>
  <si>
    <t>16:00 - 18:00</t>
  </si>
  <si>
    <t>December</t>
  </si>
  <si>
    <t>DURANGO</t>
  </si>
  <si>
    <t>17:00 - 19:00</t>
  </si>
  <si>
    <t>ESTADO DE MEXICO</t>
  </si>
  <si>
    <t>18:00 - 20:00</t>
  </si>
  <si>
    <t>GUANAJUATO</t>
  </si>
  <si>
    <t>19:00 - 21:00</t>
  </si>
  <si>
    <t>GUERRERO</t>
  </si>
  <si>
    <t>17:00 - 17:30</t>
  </si>
  <si>
    <t>20:00 - 22:00</t>
  </si>
  <si>
    <t>HIDALGO</t>
  </si>
  <si>
    <t>JALISCO</t>
  </si>
  <si>
    <t>MICHOACAN</t>
  </si>
  <si>
    <t>MORELOS</t>
  </si>
  <si>
    <t>NAYARIT</t>
  </si>
  <si>
    <t>NUEVO LEON</t>
  </si>
  <si>
    <t>OAXACA</t>
  </si>
  <si>
    <t>PUEBLA</t>
  </si>
  <si>
    <t>QUERETARO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</si>
  <si>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</si>
  <si>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</si>
  <si>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</si>
  <si>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</si>
  <si>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</si>
  <si>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</si>
  <si>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</si>
  <si>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</t>
  </si>
  <si>
    <t>YUCATAN</t>
  </si>
  <si>
    <t>ZACATECAS</t>
  </si>
  <si>
    <t>CR Time</t>
  </si>
  <si>
    <t>Georgina Time</t>
  </si>
  <si>
    <t>17:30 - 18:00</t>
  </si>
  <si>
    <t>Offsite</t>
  </si>
  <si>
    <t>Mexico</t>
  </si>
  <si>
    <t>Risk Based</t>
  </si>
  <si>
    <t>MX00A,MX00I,MXO03,MXV01</t>
  </si>
  <si>
    <t>Jalisco</t>
  </si>
  <si>
    <t>Guanajuato</t>
  </si>
  <si>
    <t>Network IDs</t>
  </si>
  <si>
    <t>Ronald Ruiz Gómez</t>
  </si>
  <si>
    <t>11:00 - 12:00</t>
  </si>
  <si>
    <t>Queretaro</t>
  </si>
  <si>
    <t>Estado De Mexico</t>
  </si>
  <si>
    <t>Campeche</t>
  </si>
  <si>
    <t>Michoacan</t>
  </si>
  <si>
    <t>Oaxaca</t>
  </si>
  <si>
    <t>Chiapas</t>
  </si>
  <si>
    <t>Zacatecas</t>
  </si>
  <si>
    <t>Yucatan</t>
  </si>
  <si>
    <t>Sonora</t>
  </si>
  <si>
    <t>Sinaloa</t>
  </si>
  <si>
    <t>Distrito Federal</t>
  </si>
  <si>
    <t>Puebla</t>
  </si>
  <si>
    <t>Coahuila</t>
  </si>
  <si>
    <t>Quintana Roo</t>
  </si>
  <si>
    <t xml:space="preserve">10:00 - 11:00 </t>
  </si>
  <si>
    <t>11:00  12:00</t>
  </si>
  <si>
    <t>AR5482422,OME482422,VR5862428</t>
  </si>
  <si>
    <t>AMX106355,AMX546355,OMX005913,VMX103990</t>
  </si>
  <si>
    <t>AMX102779,AMX542779,OMX004770,VMX106883</t>
  </si>
  <si>
    <t>AMX051222,AMX491222,OMX003362,VMX104980</t>
  </si>
  <si>
    <t>AMX056766,AMX496766,OMX005254,VMX100832</t>
  </si>
  <si>
    <t>AMX108940,AMX548940,OMX068196,VMX687902</t>
  </si>
  <si>
    <t>AME978457,AR5251291,OME221700,VME740867</t>
  </si>
  <si>
    <t>AMX104737,AMX544737,OMX003218,VMX681137</t>
  </si>
  <si>
    <t>AMX059967,AMX499967,OMX002943,VMX680071</t>
  </si>
  <si>
    <t>AR5001414,AR5011446,OR5770743,VR5830397</t>
  </si>
  <si>
    <t>AMX052036,AMX492036,OMX001898,VMX101262</t>
  </si>
  <si>
    <t>AMX054478,AMX494478,OMX060934,VMX109479</t>
  </si>
  <si>
    <t>AMX056942,AMX496942,OMX009720,VMX680181</t>
  </si>
  <si>
    <t>AR5000534,AR5010544,OMX069779,VMX689465</t>
  </si>
  <si>
    <t>AMX059219,AMX499219,OMX063135,VMX101426</t>
  </si>
  <si>
    <t>AR5001261,AR5011293,OR5770590,VR5830243</t>
  </si>
  <si>
    <t>AMX053895,AMX493895,OMX007762,VMX108094</t>
  </si>
  <si>
    <t>AME979689,AR5252225,OME223009,VME741792</t>
  </si>
  <si>
    <t>AME320052,OMX650052,VME190053</t>
  </si>
  <si>
    <t>AMX101503,AMX541503,OMX007959,VMX685296</t>
  </si>
  <si>
    <t>AME461676,AMX781886,OMX361884,VMX861889</t>
  </si>
  <si>
    <t>AME460884,AMX780467,OMX360465,VMX860460</t>
  </si>
  <si>
    <t>AME462776,AMX782821,OMX362829,VMX862835</t>
  </si>
  <si>
    <t>AMX644882,AMX754882,OMX056272,VMX718077</t>
  </si>
  <si>
    <t>AMX510022,AMX620022,OMX050870,VMX011952</t>
  </si>
  <si>
    <t>AMX348762,AMX458762,OMX026693,VMX010786</t>
  </si>
  <si>
    <t>AMX519108,AMX629108,OMX046602,VMX011127</t>
  </si>
  <si>
    <t>AME258528,AME897684,OMX628471,VME118477</t>
  </si>
  <si>
    <t>AME740515,OME534376,VME898827</t>
  </si>
  <si>
    <t>AME322746,OMX652746,VME192769</t>
  </si>
  <si>
    <t>AME322724,OMX652724,VME192747</t>
  </si>
  <si>
    <t>AME321701,OMX651701,VME191713</t>
  </si>
  <si>
    <t>AME321976,OMX651976,VME191988</t>
  </si>
  <si>
    <t>AR5049638,AR5166359,OR5756707,VME667290</t>
  </si>
  <si>
    <t xml:space="preserve">24XORO SA DE CV               </t>
  </si>
  <si>
    <t xml:space="preserve">TELECOMUNICACIONES DE MEXICO  </t>
  </si>
  <si>
    <t xml:space="preserve">TRANSFER DIRECTO SA DE CV     </t>
  </si>
  <si>
    <t xml:space="preserve">CAJA POPULAR MEXICANA SC      </t>
  </si>
  <si>
    <t xml:space="preserve">CASA LEY SA DE CV             </t>
  </si>
  <si>
    <t xml:space="preserve">ELEKTRA                       </t>
  </si>
  <si>
    <t>WALDOS DOLAR MARTS DE RL DE CV</t>
  </si>
  <si>
    <t xml:space="preserve">NUEVA WAL MART DE MEXICO S DE </t>
  </si>
  <si>
    <t xml:space="preserve">AIRPAK MEXICO OUTBOUND        </t>
  </si>
  <si>
    <t>HUIMILPAN HUIMILPAN 809</t>
  </si>
  <si>
    <t>TELECOMM 15001</t>
  </si>
  <si>
    <t>TELECOMM 14142</t>
  </si>
  <si>
    <t>TELECOMM 11010</t>
  </si>
  <si>
    <t>TELECOMM 04008</t>
  </si>
  <si>
    <t>TELECOMM 14147</t>
  </si>
  <si>
    <t>ALIANZA CAJAS POPULARES - TZIN</t>
  </si>
  <si>
    <t>TELECOMM 22013</t>
  </si>
  <si>
    <t>TELECOMM 20032</t>
  </si>
  <si>
    <t>FINABIEN 15138</t>
  </si>
  <si>
    <t>TELECOMM 07026</t>
  </si>
  <si>
    <t>TELECOMM 20096</t>
  </si>
  <si>
    <t>TELECOMM 20030</t>
  </si>
  <si>
    <t>TELECOMM 20130</t>
  </si>
  <si>
    <t>TELECOMM 07041</t>
  </si>
  <si>
    <t>TELECOMM 32037</t>
  </si>
  <si>
    <t>TELECOMM 16055</t>
  </si>
  <si>
    <t>CAJA SANTIAGO APOSTOL - HUIMIL</t>
  </si>
  <si>
    <t>VALLE VERDE</t>
  </si>
  <si>
    <t>TELECOMM 31004</t>
  </si>
  <si>
    <t>CASA LEY 1269 EXPRESS ROSALES</t>
  </si>
  <si>
    <t>CASA LEY 1171SUPER LEY LA PRIM</t>
  </si>
  <si>
    <t>CASA LEY 1373 SLX TERRANOVA</t>
  </si>
  <si>
    <t>ELEKTRA 1892</t>
  </si>
  <si>
    <t>ELEKTRA 3654</t>
  </si>
  <si>
    <t>ELEKTRA 3489</t>
  </si>
  <si>
    <t>AGENCIA CREDIMAX</t>
  </si>
  <si>
    <t>APA 758 CUERAMARO</t>
  </si>
  <si>
    <t>APA 4606 HUANDACAREO</t>
  </si>
  <si>
    <t>APA 5819 ESPERANZA</t>
  </si>
  <si>
    <t>WALDOS ACUNA MACRO PLAZA 6376</t>
  </si>
  <si>
    <t>WALMART POLIGONO SUR 3505</t>
  </si>
  <si>
    <t>RIO GRANDE OAXACA</t>
  </si>
  <si>
    <t>JUQUILA</t>
  </si>
  <si>
    <t>TIZAPAN</t>
  </si>
  <si>
    <t>CAJA POPULAR MEXICANA 221</t>
  </si>
  <si>
    <t>CAJA CHIQUILIZTLI JALPA</t>
  </si>
  <si>
    <t>Huimilpan</t>
  </si>
  <si>
    <t>Acambay</t>
  </si>
  <si>
    <t>Guadalajara</t>
  </si>
  <si>
    <t>Dolores Hidalgo</t>
  </si>
  <si>
    <t>Champoton</t>
  </si>
  <si>
    <t>La Manzanilla De La Paz</t>
  </si>
  <si>
    <t>Tzintzuntzan</t>
  </si>
  <si>
    <t>Juquila De Leon</t>
  </si>
  <si>
    <t>Temascalcingo</t>
  </si>
  <si>
    <t>Mapastepec</t>
  </si>
  <si>
    <t>Tlaxiaco</t>
  </si>
  <si>
    <t>Santiago Jamiltepec</t>
  </si>
  <si>
    <t>Totontepec Villa De Morelos</t>
  </si>
  <si>
    <t>Simojovel</t>
  </si>
  <si>
    <t>Mezquital Del Oro</t>
  </si>
  <si>
    <t>Uruapan</t>
  </si>
  <si>
    <t>Leon</t>
  </si>
  <si>
    <t>Merida</t>
  </si>
  <si>
    <t>Navojoa</t>
  </si>
  <si>
    <t>Navolato</t>
  </si>
  <si>
    <t>Culiacan</t>
  </si>
  <si>
    <t>Panindicuaro</t>
  </si>
  <si>
    <t>Cueramaro</t>
  </si>
  <si>
    <t>Huandacareo</t>
  </si>
  <si>
    <t>Esperanza</t>
  </si>
  <si>
    <t>Ciudad Acuna</t>
  </si>
  <si>
    <t>Cancun</t>
  </si>
  <si>
    <t>Rio Grande</t>
  </si>
  <si>
    <t>Santa Catarina Juquila</t>
  </si>
  <si>
    <t>Tizapan El Alto</t>
  </si>
  <si>
    <t>Doctor Mora</t>
  </si>
  <si>
    <t>Chiquilistlan</t>
  </si>
  <si>
    <t>JOSE MARIA MORELOS Y PAVON OTE 82</t>
  </si>
  <si>
    <t>PLAZA HIDALGO NO 1 CENTRO</t>
  </si>
  <si>
    <t>CALZ INDEPENDENCIA INT CENTRO COMERCIA</t>
  </si>
  <si>
    <t>PUEBLA NUM 22</t>
  </si>
  <si>
    <t>CALLE 32 4 CENTRO</t>
  </si>
  <si>
    <t>ZARAGOZA SIN NUMERO INT CASA CULTURA</t>
  </si>
  <si>
    <t>LAZARO CARDENAS SUR 2 A</t>
  </si>
  <si>
    <t>REFORMA 130 PTE CENTRO</t>
  </si>
  <si>
    <t>AV REVOLUCION S N</t>
  </si>
  <si>
    <t>AVE ALFREDO DEL MAZO SIN NUM</t>
  </si>
  <si>
    <t>CENTRAL ORIENTE Y AV FCO SARABIA 2</t>
  </si>
  <si>
    <t>FRAY LUCERO S N ESQ A M AQUINO</t>
  </si>
  <si>
    <t>MIGUEL NEGRETE SN A UN LADO DEL P MPAL</t>
  </si>
  <si>
    <t>ANEXO PALACIO MUNICIPAL</t>
  </si>
  <si>
    <t>26 DE ABRIL P B DEL PALACIO MUNICIPAL</t>
  </si>
  <si>
    <t>NINOS HEROES NUM 07</t>
  </si>
  <si>
    <t>OCAMPO NUM 4 PALACIO MUNICIPAL</t>
  </si>
  <si>
    <t>16 DE SEPTIEMBRE NO. SN</t>
  </si>
  <si>
    <t>TALABARTEROS NO  205 COL  VALLE VERDE</t>
  </si>
  <si>
    <t>AV. PEREZ PONCE POR 52</t>
  </si>
  <si>
    <t>AV GUILLERMO CHAVEZ SN</t>
  </si>
  <si>
    <t>CALLE BENITO JUAREZ NO 395 SUR</t>
  </si>
  <si>
    <t>BOULEVARD ALCATRAZ 6666</t>
  </si>
  <si>
    <t>AV CENTENARIO 2115</t>
  </si>
  <si>
    <t>AV CENTENARIO 2043</t>
  </si>
  <si>
    <t>OTE 243 77</t>
  </si>
  <si>
    <t>AV ALFREDO ELIZONDO 3 D</t>
  </si>
  <si>
    <t>FRANCISCO VENEGAS 303</t>
  </si>
  <si>
    <t>FRANCISCO I MADERO 13A</t>
  </si>
  <si>
    <t>3 NORTE 25</t>
  </si>
  <si>
    <t>LIBRAMIENTO EMILIO MENDOZA CISNEROS SN</t>
  </si>
  <si>
    <t>AVENIDA LA RIOJA LOTE 1 01 MANZANA 68</t>
  </si>
  <si>
    <t>AV  21 DE MARZO S N COL  BALBUENA</t>
  </si>
  <si>
    <t>DOMICILIO CONOCIDO S N COL  3 DE MAYO</t>
  </si>
  <si>
    <t>INDEPENDENCIA NO  208 COL  CENTRO</t>
  </si>
  <si>
    <t>HIDALGO 64 A</t>
  </si>
  <si>
    <t>MARIA DEL REFUGIO SANTANA 2B CENTRO</t>
  </si>
  <si>
    <t>MEXICO</t>
  </si>
  <si>
    <t>EFRAL</t>
  </si>
  <si>
    <t>MX03L,MXO3L,MXV3L</t>
  </si>
  <si>
    <t>MX00L,MX900,MXO01,MXV13</t>
  </si>
  <si>
    <t>MX01Z,MX02S,MXO1Z,MXV1Z</t>
  </si>
  <si>
    <t>MX01Y,MXO1Y,MXV1Y</t>
  </si>
  <si>
    <t>MX00T,MX02C,MXO0T,MXV0T</t>
  </si>
  <si>
    <t>MXO03</t>
  </si>
  <si>
    <t>MX00A</t>
  </si>
  <si>
    <t>MXV01</t>
  </si>
  <si>
    <t>MX01U,MX02V,MXO1U,MXV1U</t>
  </si>
  <si>
    <t>MX02M,MXO30,MXV2M</t>
  </si>
  <si>
    <t>MX004,MX01P,MXOG0,MXVG0</t>
  </si>
  <si>
    <t>STATUS</t>
  </si>
  <si>
    <t>LOCATIONID</t>
  </si>
  <si>
    <t>PRIAGNTID</t>
  </si>
  <si>
    <t>REGION</t>
  </si>
  <si>
    <t>NETNAME</t>
  </si>
  <si>
    <t>COUNTRY_CODE</t>
  </si>
  <si>
    <t>COUNTRY_NAME</t>
  </si>
  <si>
    <t>CTGRY</t>
  </si>
  <si>
    <t>CLI</t>
  </si>
  <si>
    <t>AGNTID</t>
  </si>
  <si>
    <t>AGENT_NAME</t>
  </si>
  <si>
    <t>AGENT_STATUS</t>
  </si>
  <si>
    <t>PRIMARY_AGENT_ID_STATUS</t>
  </si>
  <si>
    <t>AGENT_START_DATE</t>
  </si>
  <si>
    <t>AADDR1</t>
  </si>
  <si>
    <t>AADDR2</t>
  </si>
  <si>
    <t>CITY</t>
  </si>
  <si>
    <t>STATE</t>
  </si>
  <si>
    <t>PROVINCE</t>
  </si>
  <si>
    <t>ZIP_CODE</t>
  </si>
  <si>
    <t>CLASS_DESCRIPTION</t>
  </si>
  <si>
    <t>SWB_NON_SWB</t>
  </si>
  <si>
    <t>VOLUME_INDICATOR</t>
  </si>
  <si>
    <t>OPEN_MON</t>
  </si>
  <si>
    <t>CLOSE_MON</t>
  </si>
  <si>
    <t>OPEN_SAT</t>
  </si>
  <si>
    <t>CLOSE_SAT</t>
  </si>
  <si>
    <t>OPEN_SUN</t>
  </si>
  <si>
    <t>CLOSE_SUN</t>
  </si>
  <si>
    <t>LAST_MONEY_TRANSFER_PAY</t>
  </si>
  <si>
    <t>LAST_MONEY_TRANSFER_SEND</t>
  </si>
  <si>
    <t>TERMINATION_CODE</t>
  </si>
  <si>
    <t>VMX066259</t>
  </si>
  <si>
    <t>LACA</t>
  </si>
  <si>
    <t>MX</t>
  </si>
  <si>
    <t>International Agent</t>
  </si>
  <si>
    <t>Y</t>
  </si>
  <si>
    <t>D</t>
  </si>
  <si>
    <t>HIDALGO NO 66 A COL CENTRO</t>
  </si>
  <si>
    <t xml:space="preserve"> </t>
  </si>
  <si>
    <t>DOCTOR MORA</t>
  </si>
  <si>
    <t>Money Transfer / Pay Only</t>
  </si>
  <si>
    <t>NON-SWB</t>
  </si>
  <si>
    <t>1000-01-01</t>
  </si>
  <si>
    <t>Terminada</t>
  </si>
  <si>
    <t>VMX064334</t>
  </si>
  <si>
    <t>CAJA POPULAR MEXICANA 4</t>
  </si>
  <si>
    <t>TALABARTEROS NO 205 COL VALLE VERDE</t>
  </si>
  <si>
    <t>LEON</t>
  </si>
  <si>
    <t>VMX065984</t>
  </si>
  <si>
    <t>CAJA POPULAR MEXICANA 193</t>
  </si>
  <si>
    <t>INDEPENDENCIA NO 208 COL CENTRO</t>
  </si>
  <si>
    <t>TIZAPAN EL ALTO</t>
  </si>
  <si>
    <t>VMX067029</t>
  </si>
  <si>
    <t>CAJA POPULAR MEXICANA 304</t>
  </si>
  <si>
    <t>AV 21 DE MARZO S N COL BALBUENA</t>
  </si>
  <si>
    <t>RIO GRANDE</t>
  </si>
  <si>
    <t>VMX067007</t>
  </si>
  <si>
    <t>CAJA POPULAR MEXICANA 302</t>
  </si>
  <si>
    <t>DOMICILIO CONOCIDO S N COL 3 DE MAYO</t>
  </si>
  <si>
    <t>CIPRIANO</t>
  </si>
  <si>
    <t>SANTA CATARINA JUQUILA</t>
  </si>
  <si>
    <t>OMX068680</t>
  </si>
  <si>
    <t>CENTRO</t>
  </si>
  <si>
    <t>LA MANZANILLA DE LA PAZ</t>
  </si>
  <si>
    <t>AMX549424</t>
  </si>
  <si>
    <t>N</t>
  </si>
  <si>
    <t>AMX109424</t>
  </si>
  <si>
    <t>VMX688398</t>
  </si>
  <si>
    <t>OMX871668</t>
  </si>
  <si>
    <t>COLONIA SUPERMANZANA 321</t>
  </si>
  <si>
    <t>CANCUN</t>
  </si>
  <si>
    <t>AME571665</t>
  </si>
  <si>
    <t>VME331667</t>
  </si>
  <si>
    <t>OMX069791</t>
  </si>
  <si>
    <t>TOTONTEPEC VILLA DE MORELOS</t>
  </si>
  <si>
    <t xml:space="preserve">REACTIVATED </t>
  </si>
  <si>
    <t>DIT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</si>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</sst>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#"/>
    <numFmt numFmtId="166" formatCode="[$-140A]dddd\,\ dd&quot; de &quot;mmmm&quot; de &quot;yyyy;@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9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0" borderId="0" xfId="0" applyFont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7" xfId="0" applyBorder="1"/>
    <xf numFmtId="0" fontId="0" fillId="0" borderId="2" xfId="0" applyBorder="1"/>
    <xf numFmtId="49" fontId="0" fillId="0" borderId="0" xfId="0" applyNumberFormat="1"/>
    <xf numFmtId="0" fontId="2" fillId="2" borderId="4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5" xfId="0" applyBorder="1"/>
    <xf numFmtId="0" fontId="0" fillId="0" borderId="3" xfId="0" applyBorder="1"/>
    <xf numFmtId="0" fontId="0" fillId="0" borderId="1" xfId="0" applyBorder="1"/>
    <xf numFmtId="164" fontId="3" fillId="0" borderId="0" xfId="0" applyNumberFormat="1" applyFont="1"/>
    <xf numFmtId="0" fontId="2" fillId="0" borderId="0" xfId="0" applyFont="1"/>
    <xf numFmtId="164" fontId="2" fillId="2" borderId="4" xfId="0" applyNumberFormat="1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3" borderId="0" xfId="0" applyFont="1" applyFill="1"/>
    <xf numFmtId="165" fontId="3" fillId="0" borderId="8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6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6" fontId="3" fillId="0" borderId="8" xfId="0" applyNumberFormat="1" applyFont="1" applyBorder="1" applyAlignment="1" applyProtection="1">
      <alignment horizontal="center" vertical="center"/>
      <protection locked="0"/>
    </xf>
    <xf numFmtId="166" fontId="3" fillId="0" borderId="8" xfId="0" applyNumberFormat="1" applyFont="1" applyBorder="1" applyAlignment="1">
      <alignment horizontal="left" vertical="center"/>
    </xf>
    <xf numFmtId="1" fontId="0" fillId="0" borderId="0" xfId="0" applyNumberFormat="1"/>
    <xf numFmtId="1" fontId="0" fillId="4" borderId="0" xfId="0" applyNumberFormat="1" applyFill="1"/>
    <xf numFmtId="0" fontId="0" fillId="4" borderId="0" xfId="0" applyFill="1"/>
    <xf numFmtId="14" fontId="0" fillId="0" borderId="0" xfId="0" applyNumberFormat="1"/>
    <xf numFmtId="165" fontId="2" fillId="0" borderId="8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6" fontId="2" fillId="0" borderId="8" xfId="0" applyNumberFormat="1" applyFont="1" applyBorder="1" applyAlignment="1" applyProtection="1">
      <alignment horizontal="center" vertical="center"/>
      <protection locked="0"/>
    </xf>
    <xf numFmtId="166" fontId="2" fillId="0" borderId="8" xfId="0" applyNumberFormat="1" applyFont="1" applyBorder="1" applyAlignment="1">
      <alignment horizontal="left" vertical="center"/>
    </xf>
    <xf numFmtId="165" fontId="2" fillId="6" borderId="8" xfId="0" applyNumberFormat="1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 wrapText="1"/>
    </xf>
    <xf numFmtId="165" fontId="4" fillId="7" borderId="8" xfId="0" applyNumberFormat="1" applyFont="1" applyFill="1" applyBorder="1" applyAlignment="1">
      <alignment horizontal="center" vertical="center"/>
    </xf>
    <xf numFmtId="165" fontId="4" fillId="2" borderId="8" xfId="0" applyNumberFormat="1" applyFont="1" applyFill="1" applyBorder="1" applyAlignment="1">
      <alignment horizontal="center" vertical="center"/>
    </xf>
    <xf numFmtId="164" fontId="4" fillId="2" borderId="10" xfId="0" applyNumberFormat="1" applyFont="1" applyFill="1" applyBorder="1" applyAlignment="1">
      <alignment horizontal="center" vertical="center"/>
    </xf>
    <xf numFmtId="166" fontId="4" fillId="0" borderId="8" xfId="0" applyNumberFormat="1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66" fontId="4" fillId="2" borderId="8" xfId="0" applyNumberFormat="1" applyFont="1" applyFill="1" applyBorder="1" applyAlignment="1">
      <alignment horizontal="center" vertical="center"/>
    </xf>
    <xf numFmtId="166" fontId="4" fillId="2" borderId="8" xfId="0" applyNumberFormat="1" applyFont="1" applyFill="1" applyBorder="1" applyAlignment="1" applyProtection="1">
      <alignment horizontal="center" vertical="center"/>
      <protection locked="0"/>
    </xf>
    <xf numFmtId="166" fontId="4" fillId="2" borderId="8" xfId="0" applyNumberFormat="1" applyFont="1" applyFill="1" applyBorder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7">
    <dxf>
      <font>
        <color auto="1"/>
      </font>
      <fill>
        <patternFill>
          <bgColor rgb="FFFA6050"/>
        </patternFill>
      </fill>
    </dxf>
    <dxf>
      <font>
        <color auto="1"/>
      </font>
      <fill>
        <patternFill>
          <bgColor rgb="FFFA6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A6050"/>
        </patternFill>
      </fill>
    </dxf>
    <dxf>
      <font>
        <color auto="1"/>
      </font>
      <fill>
        <patternFill>
          <bgColor rgb="FFFA6050"/>
        </patternFill>
      </fill>
    </dxf>
    <dxf>
      <font>
        <color auto="1"/>
      </font>
      <fill>
        <patternFill>
          <bgColor rgb="FFFA605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[$-140A]dddd\,\ dd&quot; de &quot;mmmm&quot; de &quot;yyyy;@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[$-140A]dddd\,\ dd&quot; de &quot;mmmm&quot; de &quot;yyyy;@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color auto="1"/>
      </font>
      <numFmt numFmtId="166" formatCode="[$-140A]dddd\,\ dd&quot; de &quot;mmmm&quot; de &quot;yyyy;@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[$-140A]dddd\,\ dd&quot; de &quot;mmmm&quot; de &quot;yyyy;@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[$-140A]dddd\,\ dd&quot; de &quot;mmmm&quot; de &quot;yyyy;@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[$-140A]dddd\,\ dd&quot; de &quot;mmmm&quot; de &quot;yyyy;@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[$-140A]dddd\,\ dd&quot; de &quot;mmmm&quot; de &quot;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[$-140A]dddd\,\ dd&quot; de &quot;mmmm&quot; de &quot;yyyy;@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[$-140A]dddd\,\ dd&quot; de &quot;mmmm&quot; de &quot;yyyy;@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[$-140A]dddd\,\ dd&quot; de &quot;mmmm&quot; de &quot;yyyy;@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theme="9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#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#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D7D2163-FED8-403D-9BD3-B8DF295330F5}" name="Table111" displayName="Table111" ref="B1:S38" totalsRowShown="0" headerRowDxfId="36" dataDxfId="34" headerRowBorderDxfId="35" tableBorderDxfId="33" totalsRowBorderDxfId="32">
  <autoFilter ref="B1:S38" xr:uid="{ED7D2163-FED8-403D-9BD3-B8DF295330F5}"/>
  <sortState xmlns:xlrd2="http://schemas.microsoft.com/office/spreadsheetml/2017/richdata2" ref="B2:S38">
    <sortCondition ref="E1:E38"/>
  </sortState>
  <tableColumns count="18">
    <tableColumn id="1" xr3:uid="{65E3D434-6180-43FF-A886-713D8588E82F}" name="Subject ID" dataDxfId="31"/>
    <tableColumn id="2" xr3:uid="{90CFAFAB-9309-4C8B-B698-ECAC36CF2F18}" name="WUCO" dataDxfId="30"/>
    <tableColumn id="3" xr3:uid="{9A0C39BC-3DBD-4CC5-B322-5889D0442EC3}" name=" VMS" dataDxfId="29"/>
    <tableColumn id="4" xr3:uid="{EDC49B2B-8DDC-4754-AD47-A183B139A1C1}" name="Date of Review" dataDxfId="28"/>
    <tableColumn id="5" xr3:uid="{BA3797BB-5AF1-47AB-BD6B-7933BB73F6CD}" name="Day" dataDxfId="27">
      <calculatedColumnFormula>TEXT(Table111[[#This Row],[Date of Review]],"dddd")</calculatedColumnFormula>
    </tableColumn>
    <tableColumn id="6" xr3:uid="{FC59CFE3-5B46-4579-8506-C70DC2EF3C11}" name="Month" dataDxfId="26">
      <calculatedColumnFormula>TEXT(Table111[[#This Row],[Date of Review]],"mmmm")</calculatedColumnFormula>
    </tableColumn>
    <tableColumn id="7" xr3:uid="{D8C3EDCA-A560-4A05-9C5B-E9DEAA4B7B15}" name="WUCO Time" dataDxfId="25"/>
    <tableColumn id="8" xr3:uid="{7366C7C3-7ECB-475B-BFE0-93C1EDA1B4B6}" name="Location Time (City &amp; State)" dataDxfId="24"/>
    <tableColumn id="9" xr3:uid="{737C5D0B-0CFF-40C2-83EF-DC030E6D9D57}" name="CENTRAL TIME CDMX" dataDxfId="23"/>
    <tableColumn id="10" xr3:uid="{D1499E8D-5FB3-4651-AA4A-4EFCAC1FF24D}" name="Network IDs" dataDxfId="22"/>
    <tableColumn id="11" xr3:uid="{3315D7C5-BAEB-4375-9BEC-3879EEEF003E}" name="Network Agent Name" dataDxfId="21"/>
    <tableColumn id="12" xr3:uid="{6AFACCD4-824E-432C-9C58-E7C15D01498E}" name="Subject Name" dataDxfId="20"/>
    <tableColumn id="14" xr3:uid="{28C04D82-3188-42C1-BA1E-728637428FCE}" name="City" dataDxfId="19"/>
    <tableColumn id="15" xr3:uid="{3416BBC1-BAAD-42D8-8848-29D54B4B6D1F}" name="State" dataDxfId="18"/>
    <tableColumn id="17" xr3:uid="{AFF7CC49-3253-4D40-877A-374C9FC3E124}" name="Address 1" dataDxfId="17"/>
    <tableColumn id="13" xr3:uid="{07E0C575-B84A-4AD8-A98F-455B2BC66A63}" name="Country" dataDxfId="16"/>
    <tableColumn id="18" xr3:uid="{C3D92192-D5C8-4429-B207-FAA3068187BB}" name="Selection Source" dataDxfId="15"/>
    <tableColumn id="19" xr3:uid="{3A7F2141-07B3-4CCF-B322-D5F0257BA00C}" name="Agent IDs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4011AD-7E72-491B-9000-78921BC59EF7}" name="minus2" displayName="minus2" ref="I3:J16" totalsRowShown="0">
  <autoFilter ref="I3:J16" xr:uid="{304011AD-7E72-491B-9000-78921BC59EF7}"/>
  <tableColumns count="2">
    <tableColumn id="1" xr3:uid="{5CD8F509-D5BE-4791-B7FC-8A6A0A79C920}" name="WUCO Time"/>
    <tableColumn id="3" xr3:uid="{1171D789-1DEF-43ED-BF55-E9B6B712637E}" name="Location Ti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18D2B8-90AC-4C70-A12C-D63DA6814D58}" name="StatesTb" displayName="StatesTb" ref="D1:F35" totalsRowShown="0">
  <autoFilter ref="D1:F35" xr:uid="{B118D2B8-90AC-4C70-A12C-D63DA6814D58}"/>
  <tableColumns count="3">
    <tableColumn id="1" xr3:uid="{5DA31F29-6289-40F4-83FD-1378EED266FC}" name="State"/>
    <tableColumn id="2" xr3:uid="{1CE82E87-0A18-4208-8AFD-17F1DAA8FD42}" name="Timezone Verano" dataDxfId="13"/>
    <tableColumn id="3" xr3:uid="{F6CC462B-37B5-43DD-A48A-F778E0A9F6E3}" name="Timezone  Sin Verano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ED77BA-CBB8-45BD-B0B9-BD4B53525486}" name="minus1" displayName="minus1" ref="L3:M16" totalsRowShown="0">
  <autoFilter ref="L3:M16" xr:uid="{6DED77BA-CBB8-45BD-B0B9-BD4B53525486}"/>
  <tableColumns count="2">
    <tableColumn id="1" xr3:uid="{03490283-9274-4E6C-9900-396E035E89F1}" name="WUCO Time"/>
    <tableColumn id="3" xr3:uid="{2DC0359C-35EC-4BFC-9D0A-6B3B6BC912D8}" name="Location Ti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A87B2DA-6798-480A-AE95-B116151B72CF}" name="same" displayName="same" ref="O3:P18" totalsRowShown="0">
  <autoFilter ref="O3:P18" xr:uid="{CA87B2DA-6798-480A-AE95-B116151B72CF}"/>
  <tableColumns count="2">
    <tableColumn id="1" xr3:uid="{6E8B6816-A65A-4C66-A9ED-0F8AC86EBE7F}" name="WUCO Time"/>
    <tableColumn id="3" xr3:uid="{720FBA9C-757B-4C8A-A942-685849DD8F1B}" name="Location Tim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F90D159-2DCD-4EBA-A83A-C003AA67F4B7}" name="plus1" displayName="plus1" ref="R3:S16" totalsRowShown="0">
  <autoFilter ref="R3:S16" xr:uid="{7F90D159-2DCD-4EBA-A83A-C003AA67F4B7}"/>
  <tableColumns count="2">
    <tableColumn id="1" xr3:uid="{BF491ED2-E468-43B6-BF59-EFF3A1C28CBB}" name="WUCO Time"/>
    <tableColumn id="3" xr3:uid="{C21ADF6D-317B-4C9F-A6B1-B55182222D58}" name="Location Tim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0346439-B539-46B2-98CD-5430CB382A48}" name="plus2" displayName="plus2" ref="U3:V16" totalsRowShown="0">
  <autoFilter ref="U3:V16" xr:uid="{A0346439-B539-46B2-98CD-5430CB382A48}"/>
  <tableColumns count="2">
    <tableColumn id="1" xr3:uid="{126AF50B-8747-40AE-A2E7-8352B45B0CFD}" name="WUCO Time"/>
    <tableColumn id="3" xr3:uid="{27CE82F5-5D78-4C13-833F-835EF87180B1}" name="Location Tim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10E376-55DB-456D-BA08-1ECA7EF778DE}" name="monthsTb" displayName="monthsTb" ref="A1:B13" totalsRowShown="0">
  <autoFilter ref="A1:B13" xr:uid="{5510E376-55DB-456D-BA08-1ECA7EF778DE}"/>
  <tableColumns count="2">
    <tableColumn id="1" xr3:uid="{C2B7F02B-70E2-4741-AACB-2D07124542D3}" name="Month"/>
    <tableColumn id="2" xr3:uid="{FB67F999-C043-436B-8FE0-3236324856F7}" name="Timezon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5A60F4D-44E4-46F1-8D5F-DB557ED48724}" name="minus110" displayName="minus110" ref="A1:B15" totalsRowShown="0" headerRowDxfId="11" headerRowBorderDxfId="10" tableBorderDxfId="9" totalsRowBorderDxfId="8">
  <autoFilter ref="A1:B15" xr:uid="{85A60F4D-44E4-46F1-8D5F-DB557ED48724}"/>
  <tableColumns count="2">
    <tableColumn id="1" xr3:uid="{0962B2DE-4398-48BB-ADD5-732D590903F8}" name="CR Time" dataDxfId="7"/>
    <tableColumn id="3" xr3:uid="{D7C3A784-7207-4E5F-9EBA-3C47540B74F7}" name="Georgina Time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197CE-BFCB-40EB-8C82-68839A90AEE3}">
  <dimension ref="A1:W38"/>
  <sheetViews>
    <sheetView tabSelected="1" topLeftCell="A25" zoomScale="110" zoomScaleNormal="110" workbookViewId="0">
      <pane xSplit="2" topLeftCell="C1" activePane="topRight" state="frozen"/>
      <selection pane="topRight" activeCell="A25" sqref="A25"/>
    </sheetView>
  </sheetViews>
  <sheetFormatPr defaultColWidth="8.6328125" defaultRowHeight="15" customHeight="1" x14ac:dyDescent="0.35"/>
  <cols>
    <col min="1" max="1" width="10.08984375" style="1" customWidth="1"/>
    <col min="2" max="2" width="24.90625" style="1" customWidth="1"/>
    <col min="3" max="3" width="28.36328125" style="1" customWidth="1"/>
    <col min="4" max="4" width="10.6328125" style="15" customWidth="1"/>
    <col min="5" max="5" width="36.7265625" style="1" customWidth="1"/>
    <col min="6" max="7" width="11.54296875" style="1" customWidth="1"/>
    <col min="8" max="8" width="15.453125" style="1" customWidth="1"/>
    <col min="9" max="9" width="28.90625" style="1" hidden="1" customWidth="1"/>
    <col min="10" max="10" width="34.453125" style="1" hidden="1" customWidth="1"/>
    <col min="11" max="11" width="39.54296875" style="1" customWidth="1"/>
    <col min="12" max="12" width="39.7265625" style="1" customWidth="1"/>
    <col min="13" max="13" width="37.453125" style="1" customWidth="1"/>
    <col min="14" max="14" width="22.453125" style="1" customWidth="1"/>
    <col min="15" max="15" width="21.36328125" style="1" customWidth="1"/>
    <col min="16" max="16" width="68.81640625" style="1" customWidth="1"/>
    <col min="17" max="17" width="21" style="1" customWidth="1"/>
    <col min="18" max="18" width="22.36328125" style="1" bestFit="1" customWidth="1"/>
    <col min="19" max="19" width="55" style="1" bestFit="1" customWidth="1"/>
    <col min="20" max="23" width="8.6328125" style="19"/>
    <col min="24" max="16384" width="8.6328125" style="1"/>
  </cols>
  <sheetData>
    <row r="1" spans="1:23" s="16" customFormat="1" ht="14.5" x14ac:dyDescent="0.35">
      <c r="A1" s="39" t="s">
        <v>364</v>
      </c>
      <c r="B1" s="2" t="s">
        <v>0</v>
      </c>
      <c r="C1" s="3" t="s">
        <v>1</v>
      </c>
      <c r="D1" s="3" t="s">
        <v>2</v>
      </c>
      <c r="E1" s="4" t="s">
        <v>3</v>
      </c>
      <c r="F1" s="17" t="s">
        <v>4</v>
      </c>
      <c r="G1" s="4" t="s">
        <v>5</v>
      </c>
      <c r="H1" s="3" t="s">
        <v>6</v>
      </c>
      <c r="I1" s="10" t="s">
        <v>7</v>
      </c>
      <c r="J1" s="10" t="s">
        <v>8</v>
      </c>
      <c r="K1" s="5" t="s">
        <v>106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6" t="s">
        <v>16</v>
      </c>
      <c r="T1" s="18"/>
      <c r="U1" s="18"/>
      <c r="V1" s="18"/>
      <c r="W1" s="18"/>
    </row>
    <row r="2" spans="1:23" s="16" customFormat="1" ht="15" customHeight="1" x14ac:dyDescent="0.35">
      <c r="A2" s="38" t="s">
        <v>365</v>
      </c>
      <c r="B2" s="31">
        <v>10000002931873</v>
      </c>
      <c r="C2" s="31" t="s">
        <v>107</v>
      </c>
      <c r="D2" s="32" t="s">
        <v>100</v>
      </c>
      <c r="E2" s="33">
        <v>46223</v>
      </c>
      <c r="F2" s="34" t="str">
        <f>TEXT(Table111[[#This Row],[Date of Review]],"dddd")</f>
        <v>Monday</v>
      </c>
      <c r="G2" s="35" t="str">
        <f>TEXT(Table111[[#This Row],[Date of Review]],"mmmm")</f>
        <v>July</v>
      </c>
      <c r="H2" s="35" t="s">
        <v>108</v>
      </c>
      <c r="I2" s="35" t="s">
        <v>108</v>
      </c>
      <c r="J2" s="35" t="s">
        <v>108</v>
      </c>
      <c r="K2" s="33" t="s">
        <v>276</v>
      </c>
      <c r="L2" s="36" t="s">
        <v>159</v>
      </c>
      <c r="M2" s="33" t="s">
        <v>168</v>
      </c>
      <c r="N2" s="33" t="s">
        <v>205</v>
      </c>
      <c r="O2" s="33" t="s">
        <v>86</v>
      </c>
      <c r="P2" s="33" t="s">
        <v>237</v>
      </c>
      <c r="Q2" s="33" t="s">
        <v>274</v>
      </c>
      <c r="R2" s="33" t="s">
        <v>102</v>
      </c>
      <c r="S2" s="37" t="s">
        <v>125</v>
      </c>
      <c r="T2" s="18"/>
      <c r="U2" s="18"/>
      <c r="V2" s="18"/>
      <c r="W2" s="18"/>
    </row>
    <row r="3" spans="1:23" s="16" customFormat="1" ht="15" customHeight="1" x14ac:dyDescent="0.35">
      <c r="A3" s="31" t="s">
        <v>365</v>
      </c>
      <c r="B3" s="31">
        <v>10000000634474</v>
      </c>
      <c r="C3" s="31" t="s">
        <v>107</v>
      </c>
      <c r="D3" s="32" t="s">
        <v>100</v>
      </c>
      <c r="E3" s="33">
        <v>46224</v>
      </c>
      <c r="F3" s="34" t="str">
        <f>TEXT(Table111[[#This Row],[Date of Review]],"dddd")</f>
        <v>Tuesday</v>
      </c>
      <c r="G3" s="35" t="str">
        <f>TEXT(Table111[[#This Row],[Date of Review]],"mmmm")</f>
        <v>July</v>
      </c>
      <c r="H3" s="35" t="s">
        <v>123</v>
      </c>
      <c r="I3" s="35" t="s">
        <v>123</v>
      </c>
      <c r="J3" s="35" t="s">
        <v>123</v>
      </c>
      <c r="K3" s="33" t="s">
        <v>277</v>
      </c>
      <c r="L3" s="36" t="s">
        <v>160</v>
      </c>
      <c r="M3" s="33" t="s">
        <v>169</v>
      </c>
      <c r="N3" s="33" t="s">
        <v>206</v>
      </c>
      <c r="O3" s="33" t="s">
        <v>110</v>
      </c>
      <c r="P3" s="33" t="s">
        <v>238</v>
      </c>
      <c r="Q3" s="33" t="s">
        <v>274</v>
      </c>
      <c r="R3" s="33" t="s">
        <v>102</v>
      </c>
      <c r="S3" s="37" t="s">
        <v>126</v>
      </c>
      <c r="T3" s="18"/>
      <c r="U3" s="18"/>
      <c r="V3" s="18"/>
      <c r="W3" s="18"/>
    </row>
    <row r="4" spans="1:23" s="16" customFormat="1" ht="15" customHeight="1" x14ac:dyDescent="0.35">
      <c r="A4" s="38" t="s">
        <v>365</v>
      </c>
      <c r="B4" s="31">
        <v>10000000648617</v>
      </c>
      <c r="C4" s="31" t="s">
        <v>107</v>
      </c>
      <c r="D4" s="32" t="s">
        <v>100</v>
      </c>
      <c r="E4" s="33">
        <v>46224</v>
      </c>
      <c r="F4" s="34" t="str">
        <f>TEXT(Table111[[#This Row],[Date of Review]],"dddd")</f>
        <v>Tuesday</v>
      </c>
      <c r="G4" s="35" t="str">
        <f>TEXT(Table111[[#This Row],[Date of Review]],"mmmm")</f>
        <v>July</v>
      </c>
      <c r="H4" s="35" t="s">
        <v>124</v>
      </c>
      <c r="I4" s="35" t="s">
        <v>124</v>
      </c>
      <c r="J4" s="35" t="s">
        <v>124</v>
      </c>
      <c r="K4" s="33" t="s">
        <v>277</v>
      </c>
      <c r="L4" s="36" t="s">
        <v>160</v>
      </c>
      <c r="M4" s="33" t="s">
        <v>170</v>
      </c>
      <c r="N4" s="33" t="s">
        <v>207</v>
      </c>
      <c r="O4" s="33" t="s">
        <v>104</v>
      </c>
      <c r="P4" s="33" t="s">
        <v>239</v>
      </c>
      <c r="Q4" s="33" t="s">
        <v>274</v>
      </c>
      <c r="R4" s="33" t="s">
        <v>102</v>
      </c>
      <c r="S4" s="37" t="s">
        <v>127</v>
      </c>
      <c r="T4" s="18"/>
      <c r="U4" s="18"/>
      <c r="V4" s="18"/>
      <c r="W4" s="18"/>
    </row>
    <row r="5" spans="1:23" s="16" customFormat="1" ht="15" customHeight="1" x14ac:dyDescent="0.35">
      <c r="A5" s="31" t="s">
        <v>365</v>
      </c>
      <c r="B5" s="31">
        <v>10000001919486</v>
      </c>
      <c r="C5" s="31" t="s">
        <v>107</v>
      </c>
      <c r="D5" s="32" t="s">
        <v>100</v>
      </c>
      <c r="E5" s="33">
        <v>46226</v>
      </c>
      <c r="F5" s="34" t="str">
        <f>TEXT(Table111[[#This Row],[Date of Review]],"dddd")</f>
        <v>Thursday</v>
      </c>
      <c r="G5" s="35" t="str">
        <f>TEXT(Table111[[#This Row],[Date of Review]],"mmmm")</f>
        <v>July</v>
      </c>
      <c r="H5" s="35" t="s">
        <v>124</v>
      </c>
      <c r="I5" s="35" t="s">
        <v>124</v>
      </c>
      <c r="J5" s="35" t="s">
        <v>124</v>
      </c>
      <c r="K5" s="33" t="s">
        <v>277</v>
      </c>
      <c r="L5" s="36" t="s">
        <v>160</v>
      </c>
      <c r="M5" s="33" t="s">
        <v>173</v>
      </c>
      <c r="N5" s="33" t="s">
        <v>210</v>
      </c>
      <c r="O5" s="33" t="s">
        <v>104</v>
      </c>
      <c r="P5" s="33" t="s">
        <v>242</v>
      </c>
      <c r="Q5" s="33" t="s">
        <v>274</v>
      </c>
      <c r="R5" s="33" t="s">
        <v>102</v>
      </c>
      <c r="S5" s="37" t="s">
        <v>130</v>
      </c>
      <c r="T5" s="18"/>
      <c r="U5" s="18"/>
      <c r="V5" s="18"/>
      <c r="W5" s="18"/>
    </row>
    <row r="6" spans="1:23" s="16" customFormat="1" ht="15" customHeight="1" x14ac:dyDescent="0.35">
      <c r="A6" s="38" t="s">
        <v>365</v>
      </c>
      <c r="B6" s="31">
        <v>10000002026397</v>
      </c>
      <c r="C6" s="31" t="s">
        <v>107</v>
      </c>
      <c r="D6" s="32" t="s">
        <v>100</v>
      </c>
      <c r="E6" s="33">
        <v>46226</v>
      </c>
      <c r="F6" s="34" t="str">
        <f>TEXT(Table111[[#This Row],[Date of Review]],"dddd")</f>
        <v>Thursday</v>
      </c>
      <c r="G6" s="35" t="str">
        <f>TEXT(Table111[[#This Row],[Date of Review]],"mmmm")</f>
        <v>July</v>
      </c>
      <c r="H6" s="35" t="s">
        <v>123</v>
      </c>
      <c r="I6" s="35" t="s">
        <v>123</v>
      </c>
      <c r="J6" s="35" t="s">
        <v>123</v>
      </c>
      <c r="K6" s="33" t="s">
        <v>285</v>
      </c>
      <c r="L6" s="36" t="s">
        <v>166</v>
      </c>
      <c r="M6" s="33" t="s">
        <v>199</v>
      </c>
      <c r="N6" s="33" t="s">
        <v>231</v>
      </c>
      <c r="O6" s="33" t="s">
        <v>122</v>
      </c>
      <c r="P6" s="33" t="s">
        <v>268</v>
      </c>
      <c r="Q6" s="33" t="s">
        <v>274</v>
      </c>
      <c r="R6" s="33" t="s">
        <v>102</v>
      </c>
      <c r="S6" s="37" t="s">
        <v>153</v>
      </c>
      <c r="T6" s="18"/>
      <c r="U6" s="18"/>
      <c r="V6" s="18"/>
      <c r="W6" s="18"/>
    </row>
    <row r="7" spans="1:23" s="16" customFormat="1" ht="15" customHeight="1" x14ac:dyDescent="0.35">
      <c r="A7" s="31" t="s">
        <v>365</v>
      </c>
      <c r="B7" s="31">
        <v>10000000640769</v>
      </c>
      <c r="C7" s="31" t="s">
        <v>107</v>
      </c>
      <c r="D7" s="32" t="s">
        <v>100</v>
      </c>
      <c r="E7" s="33">
        <v>46231</v>
      </c>
      <c r="F7" s="34" t="str">
        <f>TEXT(Table111[[#This Row],[Date of Review]],"dddd")</f>
        <v>Tuesday</v>
      </c>
      <c r="G7" s="35" t="str">
        <f>TEXT(Table111[[#This Row],[Date of Review]],"mmmm")</f>
        <v>July</v>
      </c>
      <c r="H7" s="35" t="s">
        <v>123</v>
      </c>
      <c r="I7" s="35" t="s">
        <v>123</v>
      </c>
      <c r="J7" s="35" t="s">
        <v>123</v>
      </c>
      <c r="K7" s="33" t="s">
        <v>277</v>
      </c>
      <c r="L7" s="36" t="s">
        <v>160</v>
      </c>
      <c r="M7" s="33" t="s">
        <v>171</v>
      </c>
      <c r="N7" s="33" t="s">
        <v>208</v>
      </c>
      <c r="O7" s="33" t="s">
        <v>105</v>
      </c>
      <c r="P7" s="33" t="s">
        <v>240</v>
      </c>
      <c r="Q7" s="33" t="s">
        <v>274</v>
      </c>
      <c r="R7" s="33" t="s">
        <v>102</v>
      </c>
      <c r="S7" s="37" t="s">
        <v>128</v>
      </c>
      <c r="T7" s="18"/>
      <c r="U7" s="18"/>
      <c r="V7" s="18"/>
      <c r="W7" s="18"/>
    </row>
    <row r="8" spans="1:23" s="16" customFormat="1" ht="15" customHeight="1" x14ac:dyDescent="0.35">
      <c r="A8" s="38" t="s">
        <v>365</v>
      </c>
      <c r="B8" s="31">
        <v>10000002731598</v>
      </c>
      <c r="C8" s="31" t="s">
        <v>107</v>
      </c>
      <c r="D8" s="32" t="s">
        <v>100</v>
      </c>
      <c r="E8" s="33">
        <v>46231</v>
      </c>
      <c r="F8" s="34" t="str">
        <f>TEXT(Table111[[#This Row],[Date of Review]],"dddd")</f>
        <v>Tuesday</v>
      </c>
      <c r="G8" s="35" t="str">
        <f>TEXT(Table111[[#This Row],[Date of Review]],"mmmm")</f>
        <v>July</v>
      </c>
      <c r="H8" s="35" t="s">
        <v>124</v>
      </c>
      <c r="I8" s="35" t="s">
        <v>124</v>
      </c>
      <c r="J8" s="35" t="s">
        <v>124</v>
      </c>
      <c r="K8" s="33" t="s">
        <v>278</v>
      </c>
      <c r="L8" s="36" t="s">
        <v>161</v>
      </c>
      <c r="M8" s="33" t="s">
        <v>174</v>
      </c>
      <c r="N8" s="33" t="s">
        <v>211</v>
      </c>
      <c r="O8" s="33" t="s">
        <v>112</v>
      </c>
      <c r="P8" s="33" t="s">
        <v>243</v>
      </c>
      <c r="Q8" s="33" t="s">
        <v>274</v>
      </c>
      <c r="R8" s="33" t="s">
        <v>102</v>
      </c>
      <c r="S8" s="37" t="s">
        <v>131</v>
      </c>
      <c r="T8" s="18"/>
      <c r="U8" s="18"/>
      <c r="V8" s="18"/>
      <c r="W8" s="18"/>
    </row>
    <row r="9" spans="1:23" s="16" customFormat="1" ht="15" customHeight="1" x14ac:dyDescent="0.35">
      <c r="A9" s="31" t="s">
        <v>365</v>
      </c>
      <c r="B9" s="31">
        <v>10000000664095</v>
      </c>
      <c r="C9" s="31" t="s">
        <v>107</v>
      </c>
      <c r="D9" s="32" t="s">
        <v>100</v>
      </c>
      <c r="E9" s="33">
        <v>46232</v>
      </c>
      <c r="F9" s="34" t="str">
        <f>TEXT(Table111[[#This Row],[Date of Review]],"dddd")</f>
        <v>Wednesday</v>
      </c>
      <c r="G9" s="35" t="str">
        <f>TEXT(Table111[[#This Row],[Date of Review]],"mmmm")</f>
        <v>July</v>
      </c>
      <c r="H9" s="35" t="s">
        <v>123</v>
      </c>
      <c r="I9" s="35" t="s">
        <v>123</v>
      </c>
      <c r="J9" s="35" t="s">
        <v>123</v>
      </c>
      <c r="K9" s="33" t="s">
        <v>277</v>
      </c>
      <c r="L9" s="36" t="s">
        <v>160</v>
      </c>
      <c r="M9" s="33" t="s">
        <v>175</v>
      </c>
      <c r="N9" s="33" t="s">
        <v>205</v>
      </c>
      <c r="O9" s="33" t="s">
        <v>109</v>
      </c>
      <c r="P9" s="33" t="s">
        <v>244</v>
      </c>
      <c r="Q9" s="33" t="s">
        <v>274</v>
      </c>
      <c r="R9" s="33" t="s">
        <v>102</v>
      </c>
      <c r="S9" s="37" t="s">
        <v>132</v>
      </c>
      <c r="T9" s="18"/>
      <c r="U9" s="18"/>
      <c r="V9" s="18"/>
      <c r="W9" s="18"/>
    </row>
    <row r="10" spans="1:23" s="16" customFormat="1" ht="15" customHeight="1" x14ac:dyDescent="0.35">
      <c r="A10" s="38" t="s">
        <v>365</v>
      </c>
      <c r="B10" s="31">
        <v>10000000661060</v>
      </c>
      <c r="C10" s="31" t="s">
        <v>107</v>
      </c>
      <c r="D10" s="32" t="s">
        <v>100</v>
      </c>
      <c r="E10" s="33">
        <v>46232</v>
      </c>
      <c r="F10" s="34" t="str">
        <f>TEXT(Table111[[#This Row],[Date of Review]],"dddd")</f>
        <v>Wednesday</v>
      </c>
      <c r="G10" s="35" t="str">
        <f>TEXT(Table111[[#This Row],[Date of Review]],"mmmm")</f>
        <v>July</v>
      </c>
      <c r="H10" s="35" t="s">
        <v>124</v>
      </c>
      <c r="I10" s="35" t="s">
        <v>124</v>
      </c>
      <c r="J10" s="35" t="s">
        <v>124</v>
      </c>
      <c r="K10" s="33" t="s">
        <v>277</v>
      </c>
      <c r="L10" s="36" t="s">
        <v>160</v>
      </c>
      <c r="M10" s="33" t="s">
        <v>176</v>
      </c>
      <c r="N10" s="33" t="s">
        <v>212</v>
      </c>
      <c r="O10" s="33" t="s">
        <v>113</v>
      </c>
      <c r="P10" s="33" t="s">
        <v>245</v>
      </c>
      <c r="Q10" s="33" t="s">
        <v>274</v>
      </c>
      <c r="R10" s="33" t="s">
        <v>102</v>
      </c>
      <c r="S10" s="37" t="s">
        <v>133</v>
      </c>
      <c r="T10" s="18"/>
      <c r="U10" s="18"/>
      <c r="V10" s="18"/>
      <c r="W10" s="18"/>
    </row>
    <row r="11" spans="1:23" s="16" customFormat="1" ht="15" customHeight="1" x14ac:dyDescent="0.35">
      <c r="A11" s="31" t="s">
        <v>365</v>
      </c>
      <c r="B11" s="31">
        <v>10000002877714</v>
      </c>
      <c r="C11" s="31" t="s">
        <v>107</v>
      </c>
      <c r="D11" s="32" t="s">
        <v>100</v>
      </c>
      <c r="E11" s="33">
        <v>46233</v>
      </c>
      <c r="F11" s="34" t="str">
        <f>TEXT(Table111[[#This Row],[Date of Review]],"dddd")</f>
        <v>Thursday</v>
      </c>
      <c r="G11" s="35" t="str">
        <f>TEXT(Table111[[#This Row],[Date of Review]],"mmmm")</f>
        <v>July</v>
      </c>
      <c r="H11" s="35" t="s">
        <v>123</v>
      </c>
      <c r="I11" s="35" t="s">
        <v>123</v>
      </c>
      <c r="J11" s="35" t="s">
        <v>123</v>
      </c>
      <c r="K11" s="33" t="s">
        <v>277</v>
      </c>
      <c r="L11" s="36" t="s">
        <v>160</v>
      </c>
      <c r="M11" s="33" t="s">
        <v>177</v>
      </c>
      <c r="N11" s="33" t="s">
        <v>213</v>
      </c>
      <c r="O11" s="33" t="s">
        <v>110</v>
      </c>
      <c r="P11" s="33" t="s">
        <v>246</v>
      </c>
      <c r="Q11" s="33" t="s">
        <v>274</v>
      </c>
      <c r="R11" s="33" t="s">
        <v>102</v>
      </c>
      <c r="S11" s="37" t="s">
        <v>134</v>
      </c>
      <c r="T11" s="18"/>
      <c r="U11" s="18"/>
      <c r="V11" s="18"/>
      <c r="W11" s="18"/>
    </row>
    <row r="12" spans="1:23" s="16" customFormat="1" ht="15" customHeight="1" x14ac:dyDescent="0.35">
      <c r="A12" s="38" t="s">
        <v>365</v>
      </c>
      <c r="B12" s="31">
        <v>10000000622960</v>
      </c>
      <c r="C12" s="31" t="s">
        <v>107</v>
      </c>
      <c r="D12" s="32" t="s">
        <v>100</v>
      </c>
      <c r="E12" s="33">
        <v>46233</v>
      </c>
      <c r="F12" s="34" t="str">
        <f>TEXT(Table111[[#This Row],[Date of Review]],"dddd")</f>
        <v>Thursday</v>
      </c>
      <c r="G12" s="35" t="str">
        <f>TEXT(Table111[[#This Row],[Date of Review]],"mmmm")</f>
        <v>July</v>
      </c>
      <c r="H12" s="35" t="s">
        <v>124</v>
      </c>
      <c r="I12" s="35" t="s">
        <v>124</v>
      </c>
      <c r="J12" s="35" t="s">
        <v>124</v>
      </c>
      <c r="K12" s="33" t="s">
        <v>277</v>
      </c>
      <c r="L12" s="36" t="s">
        <v>160</v>
      </c>
      <c r="M12" s="33" t="s">
        <v>178</v>
      </c>
      <c r="N12" s="33" t="s">
        <v>214</v>
      </c>
      <c r="O12" s="33" t="s">
        <v>114</v>
      </c>
      <c r="P12" s="33" t="s">
        <v>247</v>
      </c>
      <c r="Q12" s="33" t="s">
        <v>274</v>
      </c>
      <c r="R12" s="33" t="s">
        <v>102</v>
      </c>
      <c r="S12" s="37" t="s">
        <v>135</v>
      </c>
      <c r="T12" s="18"/>
      <c r="U12" s="18"/>
      <c r="V12" s="18"/>
      <c r="W12" s="18"/>
    </row>
    <row r="13" spans="1:23" s="16" customFormat="1" ht="15" customHeight="1" x14ac:dyDescent="0.35">
      <c r="A13" s="31" t="s">
        <v>365</v>
      </c>
      <c r="B13" s="31">
        <v>10000000659769</v>
      </c>
      <c r="C13" s="31" t="s">
        <v>107</v>
      </c>
      <c r="D13" s="32" t="s">
        <v>100</v>
      </c>
      <c r="E13" s="33">
        <v>46238</v>
      </c>
      <c r="F13" s="34" t="str">
        <f>TEXT(Table111[[#This Row],[Date of Review]],"dddd")</f>
        <v>Tuesday</v>
      </c>
      <c r="G13" s="35" t="str">
        <f>TEXT(Table111[[#This Row],[Date of Review]],"mmmm")</f>
        <v>August</v>
      </c>
      <c r="H13" s="35" t="s">
        <v>123</v>
      </c>
      <c r="I13" s="35" t="s">
        <v>123</v>
      </c>
      <c r="J13" s="35" t="s">
        <v>123</v>
      </c>
      <c r="K13" s="33" t="s">
        <v>277</v>
      </c>
      <c r="L13" s="36" t="s">
        <v>160</v>
      </c>
      <c r="M13" s="33" t="s">
        <v>179</v>
      </c>
      <c r="N13" s="33" t="s">
        <v>215</v>
      </c>
      <c r="O13" s="33" t="s">
        <v>113</v>
      </c>
      <c r="P13" s="33" t="s">
        <v>248</v>
      </c>
      <c r="Q13" s="33" t="s">
        <v>274</v>
      </c>
      <c r="R13" s="33" t="s">
        <v>102</v>
      </c>
      <c r="S13" s="37" t="s">
        <v>136</v>
      </c>
      <c r="T13" s="18"/>
      <c r="U13" s="18"/>
      <c r="V13" s="18"/>
      <c r="W13" s="18"/>
    </row>
    <row r="14" spans="1:23" s="16" customFormat="1" ht="15" customHeight="1" x14ac:dyDescent="0.35">
      <c r="A14" s="38" t="s">
        <v>365</v>
      </c>
      <c r="B14" s="31">
        <v>10000000661195</v>
      </c>
      <c r="C14" s="31" t="s">
        <v>107</v>
      </c>
      <c r="D14" s="32" t="s">
        <v>100</v>
      </c>
      <c r="E14" s="33">
        <v>46238</v>
      </c>
      <c r="F14" s="34" t="str">
        <f>TEXT(Table111[[#This Row],[Date of Review]],"dddd")</f>
        <v>Tuesday</v>
      </c>
      <c r="G14" s="35" t="str">
        <f>TEXT(Table111[[#This Row],[Date of Review]],"mmmm")</f>
        <v>August</v>
      </c>
      <c r="H14" s="35" t="s">
        <v>124</v>
      </c>
      <c r="I14" s="35" t="s">
        <v>124</v>
      </c>
      <c r="J14" s="35" t="s">
        <v>124</v>
      </c>
      <c r="K14" s="33" t="s">
        <v>277</v>
      </c>
      <c r="L14" s="36" t="s">
        <v>160</v>
      </c>
      <c r="M14" s="33" t="s">
        <v>180</v>
      </c>
      <c r="N14" s="33" t="s">
        <v>216</v>
      </c>
      <c r="O14" s="33" t="s">
        <v>113</v>
      </c>
      <c r="P14" s="33" t="s">
        <v>249</v>
      </c>
      <c r="Q14" s="33" t="s">
        <v>274</v>
      </c>
      <c r="R14" s="33" t="s">
        <v>102</v>
      </c>
      <c r="S14" s="37" t="s">
        <v>137</v>
      </c>
      <c r="T14" s="18"/>
      <c r="U14" s="18"/>
      <c r="V14" s="18"/>
      <c r="W14" s="18"/>
    </row>
    <row r="15" spans="1:23" s="16" customFormat="1" ht="15" customHeight="1" x14ac:dyDescent="0.35">
      <c r="A15" s="31" t="s">
        <v>365</v>
      </c>
      <c r="B15" s="31">
        <v>10000002565215</v>
      </c>
      <c r="C15" s="31" t="s">
        <v>107</v>
      </c>
      <c r="D15" s="32" t="s">
        <v>100</v>
      </c>
      <c r="E15" s="33">
        <v>46239</v>
      </c>
      <c r="F15" s="34" t="str">
        <f>TEXT(Table111[[#This Row],[Date of Review]],"dddd")</f>
        <v>Wednesday</v>
      </c>
      <c r="G15" s="35" t="str">
        <f>TEXT(Table111[[#This Row],[Date of Review]],"mmmm")</f>
        <v>August</v>
      </c>
      <c r="H15" s="35" t="s">
        <v>123</v>
      </c>
      <c r="I15" s="35" t="s">
        <v>123</v>
      </c>
      <c r="J15" s="35" t="s">
        <v>123</v>
      </c>
      <c r="K15" s="33" t="s">
        <v>277</v>
      </c>
      <c r="L15" s="36" t="s">
        <v>160</v>
      </c>
      <c r="M15" s="33" t="s">
        <v>181</v>
      </c>
      <c r="N15" s="33" t="s">
        <v>217</v>
      </c>
      <c r="O15" s="33" t="s">
        <v>113</v>
      </c>
      <c r="P15" s="33" t="s">
        <v>250</v>
      </c>
      <c r="Q15" s="33" t="s">
        <v>274</v>
      </c>
      <c r="R15" s="33" t="s">
        <v>102</v>
      </c>
      <c r="S15" s="37" t="s">
        <v>138</v>
      </c>
      <c r="T15" s="18"/>
      <c r="U15" s="18"/>
      <c r="V15" s="18"/>
      <c r="W15" s="18"/>
    </row>
    <row r="16" spans="1:23" s="16" customFormat="1" ht="15" customHeight="1" x14ac:dyDescent="0.35">
      <c r="A16" s="38" t="s">
        <v>365</v>
      </c>
      <c r="B16" s="31">
        <v>10000000623339</v>
      </c>
      <c r="C16" s="31" t="s">
        <v>107</v>
      </c>
      <c r="D16" s="32" t="s">
        <v>100</v>
      </c>
      <c r="E16" s="33">
        <v>46239</v>
      </c>
      <c r="F16" s="34" t="str">
        <f>TEXT(Table111[[#This Row],[Date of Review]],"dddd")</f>
        <v>Wednesday</v>
      </c>
      <c r="G16" s="35" t="str">
        <f>TEXT(Table111[[#This Row],[Date of Review]],"mmmm")</f>
        <v>August</v>
      </c>
      <c r="H16" s="35" t="s">
        <v>124</v>
      </c>
      <c r="I16" s="35" t="s">
        <v>124</v>
      </c>
      <c r="J16" s="35" t="s">
        <v>124</v>
      </c>
      <c r="K16" s="33" t="s">
        <v>277</v>
      </c>
      <c r="L16" s="36" t="s">
        <v>160</v>
      </c>
      <c r="M16" s="33" t="s">
        <v>182</v>
      </c>
      <c r="N16" s="33" t="s">
        <v>218</v>
      </c>
      <c r="O16" s="33" t="s">
        <v>114</v>
      </c>
      <c r="P16" s="33" t="s">
        <v>251</v>
      </c>
      <c r="Q16" s="33" t="s">
        <v>274</v>
      </c>
      <c r="R16" s="33" t="s">
        <v>102</v>
      </c>
      <c r="S16" s="37" t="s">
        <v>139</v>
      </c>
      <c r="T16" s="18"/>
      <c r="U16" s="18"/>
      <c r="V16" s="18"/>
      <c r="W16" s="18"/>
    </row>
    <row r="17" spans="1:23" s="16" customFormat="1" ht="15" customHeight="1" x14ac:dyDescent="0.35">
      <c r="A17" s="31" t="s">
        <v>365</v>
      </c>
      <c r="B17" s="31">
        <v>10000002810555</v>
      </c>
      <c r="C17" s="31" t="s">
        <v>107</v>
      </c>
      <c r="D17" s="32" t="s">
        <v>100</v>
      </c>
      <c r="E17" s="33">
        <v>46240</v>
      </c>
      <c r="F17" s="34" t="str">
        <f>TEXT(Table111[[#This Row],[Date of Review]],"dddd")</f>
        <v>Thursday</v>
      </c>
      <c r="G17" s="35" t="str">
        <f>TEXT(Table111[[#This Row],[Date of Review]],"mmmm")</f>
        <v>August</v>
      </c>
      <c r="H17" s="35" t="s">
        <v>123</v>
      </c>
      <c r="I17" s="35" t="s">
        <v>123</v>
      </c>
      <c r="J17" s="35" t="s">
        <v>123</v>
      </c>
      <c r="K17" s="33" t="s">
        <v>277</v>
      </c>
      <c r="L17" s="36" t="s">
        <v>160</v>
      </c>
      <c r="M17" s="33" t="s">
        <v>183</v>
      </c>
      <c r="N17" s="33" t="s">
        <v>219</v>
      </c>
      <c r="O17" s="33" t="s">
        <v>115</v>
      </c>
      <c r="P17" s="33" t="s">
        <v>252</v>
      </c>
      <c r="Q17" s="33" t="s">
        <v>274</v>
      </c>
      <c r="R17" s="33" t="s">
        <v>102</v>
      </c>
      <c r="S17" s="37" t="s">
        <v>140</v>
      </c>
      <c r="T17" s="18"/>
      <c r="U17" s="18"/>
      <c r="V17" s="18"/>
      <c r="W17" s="18"/>
    </row>
    <row r="18" spans="1:23" s="16" customFormat="1" ht="15" customHeight="1" x14ac:dyDescent="0.35">
      <c r="A18" s="38" t="s">
        <v>365</v>
      </c>
      <c r="B18" s="31">
        <v>10000000653712</v>
      </c>
      <c r="C18" s="31" t="s">
        <v>107</v>
      </c>
      <c r="D18" s="32" t="s">
        <v>100</v>
      </c>
      <c r="E18" s="33">
        <v>46240</v>
      </c>
      <c r="F18" s="34" t="str">
        <f>TEXT(Table111[[#This Row],[Date of Review]],"dddd")</f>
        <v>Thursday</v>
      </c>
      <c r="G18" s="35" t="str">
        <f>TEXT(Table111[[#This Row],[Date of Review]],"mmmm")</f>
        <v>August</v>
      </c>
      <c r="H18" s="35" t="s">
        <v>124</v>
      </c>
      <c r="I18" s="35" t="s">
        <v>124</v>
      </c>
      <c r="J18" s="35" t="s">
        <v>124</v>
      </c>
      <c r="K18" s="33" t="s">
        <v>277</v>
      </c>
      <c r="L18" s="36" t="s">
        <v>160</v>
      </c>
      <c r="M18" s="33" t="s">
        <v>184</v>
      </c>
      <c r="N18" s="33" t="s">
        <v>220</v>
      </c>
      <c r="O18" s="33" t="s">
        <v>112</v>
      </c>
      <c r="P18" s="33" t="s">
        <v>253</v>
      </c>
      <c r="Q18" s="33" t="s">
        <v>274</v>
      </c>
      <c r="R18" s="33" t="s">
        <v>102</v>
      </c>
      <c r="S18" s="37" t="s">
        <v>141</v>
      </c>
      <c r="T18" s="18"/>
      <c r="U18" s="18"/>
      <c r="V18" s="18"/>
      <c r="W18" s="18"/>
    </row>
    <row r="19" spans="1:23" s="16" customFormat="1" ht="15" customHeight="1" x14ac:dyDescent="0.35">
      <c r="A19" s="31" t="s">
        <v>365</v>
      </c>
      <c r="B19" s="31">
        <v>10000000622242</v>
      </c>
      <c r="C19" s="31" t="s">
        <v>107</v>
      </c>
      <c r="D19" s="32" t="s">
        <v>100</v>
      </c>
      <c r="E19" s="33">
        <v>46245</v>
      </c>
      <c r="F19" s="34" t="str">
        <f>TEXT(Table111[[#This Row],[Date of Review]],"dddd")</f>
        <v>Tuesday</v>
      </c>
      <c r="G19" s="35" t="str">
        <f>TEXT(Table111[[#This Row],[Date of Review]],"mmmm")</f>
        <v>August</v>
      </c>
      <c r="H19" s="35" t="s">
        <v>124</v>
      </c>
      <c r="I19" s="35" t="s">
        <v>124</v>
      </c>
      <c r="J19" s="35" t="s">
        <v>124</v>
      </c>
      <c r="K19" s="33" t="s">
        <v>277</v>
      </c>
      <c r="L19" s="36" t="s">
        <v>160</v>
      </c>
      <c r="M19" s="33" t="s">
        <v>172</v>
      </c>
      <c r="N19" s="33" t="s">
        <v>209</v>
      </c>
      <c r="O19" s="33" t="s">
        <v>111</v>
      </c>
      <c r="P19" s="33" t="s">
        <v>241</v>
      </c>
      <c r="Q19" s="33" t="s">
        <v>274</v>
      </c>
      <c r="R19" s="33" t="s">
        <v>102</v>
      </c>
      <c r="S19" s="37" t="s">
        <v>129</v>
      </c>
      <c r="T19" s="18"/>
      <c r="U19" s="18"/>
      <c r="V19" s="18"/>
      <c r="W19" s="18"/>
    </row>
    <row r="20" spans="1:23" s="16" customFormat="1" ht="15" customHeight="1" x14ac:dyDescent="0.35">
      <c r="A20" s="38" t="s">
        <v>365</v>
      </c>
      <c r="B20" s="31">
        <v>10000002799209</v>
      </c>
      <c r="C20" s="31" t="s">
        <v>107</v>
      </c>
      <c r="D20" s="32" t="s">
        <v>100</v>
      </c>
      <c r="E20" s="33">
        <v>46245</v>
      </c>
      <c r="F20" s="34" t="str">
        <f>TEXT(Table111[[#This Row],[Date of Review]],"dddd")</f>
        <v>Tuesday</v>
      </c>
      <c r="G20" s="35" t="str">
        <f>TEXT(Table111[[#This Row],[Date of Review]],"mmmm")</f>
        <v>August</v>
      </c>
      <c r="H20" s="35" t="s">
        <v>124</v>
      </c>
      <c r="I20" s="35" t="s">
        <v>124</v>
      </c>
      <c r="J20" s="35" t="s">
        <v>124</v>
      </c>
      <c r="K20" s="33" t="s">
        <v>278</v>
      </c>
      <c r="L20" s="36" t="s">
        <v>161</v>
      </c>
      <c r="M20" s="33" t="s">
        <v>185</v>
      </c>
      <c r="N20" s="33" t="s">
        <v>205</v>
      </c>
      <c r="O20" s="33" t="s">
        <v>109</v>
      </c>
      <c r="P20" s="33" t="s">
        <v>254</v>
      </c>
      <c r="Q20" s="33" t="s">
        <v>274</v>
      </c>
      <c r="R20" s="33" t="s">
        <v>102</v>
      </c>
      <c r="S20" s="37" t="s">
        <v>142</v>
      </c>
      <c r="T20" s="18"/>
      <c r="U20" s="18"/>
      <c r="V20" s="18"/>
      <c r="W20" s="18"/>
    </row>
    <row r="21" spans="1:23" s="16" customFormat="1" ht="15" customHeight="1" x14ac:dyDescent="0.35">
      <c r="A21" s="31" t="s">
        <v>365</v>
      </c>
      <c r="B21" s="31">
        <v>10000001844374</v>
      </c>
      <c r="C21" s="31" t="s">
        <v>107</v>
      </c>
      <c r="D21" s="32" t="s">
        <v>100</v>
      </c>
      <c r="E21" s="33">
        <v>46246</v>
      </c>
      <c r="F21" s="34" t="str">
        <f>TEXT(Table111[[#This Row],[Date of Review]],"dddd")</f>
        <v>Wednesday</v>
      </c>
      <c r="G21" s="35" t="str">
        <f>TEXT(Table111[[#This Row],[Date of Review]],"mmmm")</f>
        <v>August</v>
      </c>
      <c r="H21" s="35" t="s">
        <v>123</v>
      </c>
      <c r="I21" s="35" t="s">
        <v>123</v>
      </c>
      <c r="J21" s="35" t="s">
        <v>123</v>
      </c>
      <c r="K21" s="33" t="s">
        <v>279</v>
      </c>
      <c r="L21" s="36" t="s">
        <v>162</v>
      </c>
      <c r="M21" s="33" t="s">
        <v>186</v>
      </c>
      <c r="N21" s="33" t="s">
        <v>221</v>
      </c>
      <c r="O21" s="33" t="s">
        <v>105</v>
      </c>
      <c r="P21" s="33" t="s">
        <v>255</v>
      </c>
      <c r="Q21" s="33" t="s">
        <v>274</v>
      </c>
      <c r="R21" s="33" t="s">
        <v>102</v>
      </c>
      <c r="S21" s="37" t="s">
        <v>143</v>
      </c>
      <c r="T21" s="18"/>
      <c r="U21" s="18"/>
      <c r="V21" s="18"/>
      <c r="W21" s="18"/>
    </row>
    <row r="22" spans="1:23" s="16" customFormat="1" ht="15" customHeight="1" x14ac:dyDescent="0.35">
      <c r="A22" s="38" t="s">
        <v>365</v>
      </c>
      <c r="B22" s="31">
        <v>10000000679716</v>
      </c>
      <c r="C22" s="31" t="s">
        <v>107</v>
      </c>
      <c r="D22" s="32" t="s">
        <v>100</v>
      </c>
      <c r="E22" s="33">
        <v>46246</v>
      </c>
      <c r="F22" s="34" t="str">
        <f>TEXT(Table111[[#This Row],[Date of Review]],"dddd")</f>
        <v>Wednesday</v>
      </c>
      <c r="G22" s="35" t="str">
        <f>TEXT(Table111[[#This Row],[Date of Review]],"mmmm")</f>
        <v>August</v>
      </c>
      <c r="H22" s="35" t="s">
        <v>124</v>
      </c>
      <c r="I22" s="35" t="s">
        <v>124</v>
      </c>
      <c r="J22" s="35" t="s">
        <v>124</v>
      </c>
      <c r="K22" s="33" t="s">
        <v>277</v>
      </c>
      <c r="L22" s="36" t="s">
        <v>160</v>
      </c>
      <c r="M22" s="33" t="s">
        <v>187</v>
      </c>
      <c r="N22" s="33" t="s">
        <v>222</v>
      </c>
      <c r="O22" s="33" t="s">
        <v>116</v>
      </c>
      <c r="P22" s="33" t="s">
        <v>256</v>
      </c>
      <c r="Q22" s="33" t="s">
        <v>274</v>
      </c>
      <c r="R22" s="33" t="s">
        <v>102</v>
      </c>
      <c r="S22" s="37" t="s">
        <v>144</v>
      </c>
      <c r="T22" s="18"/>
      <c r="U22" s="18"/>
      <c r="V22" s="18"/>
      <c r="W22" s="18"/>
    </row>
    <row r="23" spans="1:23" s="16" customFormat="1" ht="15" customHeight="1" x14ac:dyDescent="0.35">
      <c r="A23" s="31" t="s">
        <v>365</v>
      </c>
      <c r="B23" s="31">
        <v>10000001526463</v>
      </c>
      <c r="C23" s="31" t="s">
        <v>107</v>
      </c>
      <c r="D23" s="32" t="s">
        <v>100</v>
      </c>
      <c r="E23" s="33">
        <v>46247</v>
      </c>
      <c r="F23" s="34" t="str">
        <f>TEXT(Table111[[#This Row],[Date of Review]],"dddd")</f>
        <v>Thursday</v>
      </c>
      <c r="G23" s="35" t="str">
        <f>TEXT(Table111[[#This Row],[Date of Review]],"mmmm")</f>
        <v>August</v>
      </c>
      <c r="H23" s="35" t="s">
        <v>123</v>
      </c>
      <c r="I23" s="35" t="s">
        <v>123</v>
      </c>
      <c r="J23" s="35" t="s">
        <v>123</v>
      </c>
      <c r="K23" s="33" t="s">
        <v>280</v>
      </c>
      <c r="L23" s="36" t="s">
        <v>163</v>
      </c>
      <c r="M23" s="33" t="s">
        <v>188</v>
      </c>
      <c r="N23" s="33" t="s">
        <v>223</v>
      </c>
      <c r="O23" s="33" t="s">
        <v>117</v>
      </c>
      <c r="P23" s="33" t="s">
        <v>257</v>
      </c>
      <c r="Q23" s="33" t="s">
        <v>274</v>
      </c>
      <c r="R23" s="33" t="s">
        <v>102</v>
      </c>
      <c r="S23" s="37" t="s">
        <v>145</v>
      </c>
      <c r="T23" s="18"/>
      <c r="U23" s="18"/>
      <c r="V23" s="18"/>
      <c r="W23" s="18"/>
    </row>
    <row r="24" spans="1:23" s="16" customFormat="1" ht="15" customHeight="1" x14ac:dyDescent="0.35">
      <c r="A24" s="38" t="s">
        <v>365</v>
      </c>
      <c r="B24" s="31">
        <v>10000000669076</v>
      </c>
      <c r="C24" s="31" t="s">
        <v>107</v>
      </c>
      <c r="D24" s="32" t="s">
        <v>100</v>
      </c>
      <c r="E24" s="33">
        <v>46247</v>
      </c>
      <c r="F24" s="34" t="str">
        <f>TEXT(Table111[[#This Row],[Date of Review]],"dddd")</f>
        <v>Thursday</v>
      </c>
      <c r="G24" s="35" t="str">
        <f>TEXT(Table111[[#This Row],[Date of Review]],"mmmm")</f>
        <v>August</v>
      </c>
      <c r="H24" s="35" t="s">
        <v>124</v>
      </c>
      <c r="I24" s="35" t="s">
        <v>124</v>
      </c>
      <c r="J24" s="35" t="s">
        <v>124</v>
      </c>
      <c r="K24" s="33" t="s">
        <v>280</v>
      </c>
      <c r="L24" s="36" t="s">
        <v>163</v>
      </c>
      <c r="M24" s="33" t="s">
        <v>189</v>
      </c>
      <c r="N24" s="33" t="s">
        <v>224</v>
      </c>
      <c r="O24" s="33" t="s">
        <v>118</v>
      </c>
      <c r="P24" s="33" t="s">
        <v>258</v>
      </c>
      <c r="Q24" s="33" t="s">
        <v>274</v>
      </c>
      <c r="R24" s="33" t="s">
        <v>102</v>
      </c>
      <c r="S24" s="37" t="s">
        <v>146</v>
      </c>
      <c r="T24" s="18"/>
      <c r="U24" s="18"/>
      <c r="V24" s="18"/>
      <c r="W24" s="18"/>
    </row>
    <row r="25" spans="1:23" s="16" customFormat="1" ht="15" customHeight="1" x14ac:dyDescent="0.35">
      <c r="A25" s="31" t="s">
        <v>365</v>
      </c>
      <c r="B25" s="31">
        <v>10000002550008</v>
      </c>
      <c r="C25" s="31" t="s">
        <v>107</v>
      </c>
      <c r="D25" s="32" t="s">
        <v>100</v>
      </c>
      <c r="E25" s="33">
        <v>46252</v>
      </c>
      <c r="F25" s="34" t="str">
        <f>TEXT(Table111[[#This Row],[Date of Review]],"dddd")</f>
        <v>Tuesday</v>
      </c>
      <c r="G25" s="35" t="str">
        <f>TEXT(Table111[[#This Row],[Date of Review]],"mmmm")</f>
        <v>August</v>
      </c>
      <c r="H25" s="35" t="s">
        <v>123</v>
      </c>
      <c r="I25" s="35" t="s">
        <v>123</v>
      </c>
      <c r="J25" s="35" t="s">
        <v>123</v>
      </c>
      <c r="K25" s="33" t="s">
        <v>280</v>
      </c>
      <c r="L25" s="36" t="s">
        <v>163</v>
      </c>
      <c r="M25" s="33" t="s">
        <v>190</v>
      </c>
      <c r="N25" s="33" t="s">
        <v>225</v>
      </c>
      <c r="O25" s="33" t="s">
        <v>118</v>
      </c>
      <c r="P25" s="33" t="s">
        <v>259</v>
      </c>
      <c r="Q25" s="33" t="s">
        <v>274</v>
      </c>
      <c r="R25" s="33" t="s">
        <v>102</v>
      </c>
      <c r="S25" s="37" t="s">
        <v>147</v>
      </c>
      <c r="T25" s="18"/>
      <c r="U25" s="18"/>
      <c r="V25" s="18"/>
      <c r="W25" s="18"/>
    </row>
    <row r="26" spans="1:23" s="16" customFormat="1" ht="15" customHeight="1" x14ac:dyDescent="0.35">
      <c r="A26" s="40"/>
      <c r="B26" s="41">
        <v>10000000629780</v>
      </c>
      <c r="C26" s="41" t="s">
        <v>107</v>
      </c>
      <c r="D26" s="42" t="s">
        <v>100</v>
      </c>
      <c r="E26" s="43">
        <v>46252</v>
      </c>
      <c r="F26" s="44" t="str">
        <f>TEXT(Table111[[#This Row],[Date of Review]],"dddd")</f>
        <v>Tuesday</v>
      </c>
      <c r="G26" s="45" t="str">
        <f>TEXT(Table111[[#This Row],[Date of Review]],"mmmm")</f>
        <v>August</v>
      </c>
      <c r="H26" s="45" t="s">
        <v>124</v>
      </c>
      <c r="I26" s="45" t="s">
        <v>124</v>
      </c>
      <c r="J26" s="45" t="s">
        <v>124</v>
      </c>
      <c r="K26" s="46" t="s">
        <v>281</v>
      </c>
      <c r="L26" s="47" t="s">
        <v>164</v>
      </c>
      <c r="M26" s="46" t="s">
        <v>191</v>
      </c>
      <c r="N26" s="46" t="s">
        <v>101</v>
      </c>
      <c r="O26" s="46" t="s">
        <v>119</v>
      </c>
      <c r="P26" s="46" t="s">
        <v>260</v>
      </c>
      <c r="Q26" s="46" t="s">
        <v>274</v>
      </c>
      <c r="R26" s="46" t="s">
        <v>275</v>
      </c>
      <c r="S26" s="48"/>
      <c r="T26" s="18"/>
      <c r="U26" s="18"/>
      <c r="V26" s="18"/>
      <c r="W26" s="18"/>
    </row>
    <row r="27" spans="1:23" s="16" customFormat="1" ht="15" customHeight="1" x14ac:dyDescent="0.35">
      <c r="A27" s="41"/>
      <c r="B27" s="41">
        <v>10000000629803</v>
      </c>
      <c r="C27" s="41" t="s">
        <v>107</v>
      </c>
      <c r="D27" s="42" t="s">
        <v>100</v>
      </c>
      <c r="E27" s="43">
        <v>46253</v>
      </c>
      <c r="F27" s="44" t="str">
        <f>TEXT(Table111[[#This Row],[Date of Review]],"dddd")</f>
        <v>Wednesday</v>
      </c>
      <c r="G27" s="45" t="str">
        <f>TEXT(Table111[[#This Row],[Date of Review]],"mmmm")</f>
        <v>August</v>
      </c>
      <c r="H27" s="45" t="s">
        <v>123</v>
      </c>
      <c r="I27" s="45" t="s">
        <v>123</v>
      </c>
      <c r="J27" s="45" t="s">
        <v>123</v>
      </c>
      <c r="K27" s="46" t="s">
        <v>282</v>
      </c>
      <c r="L27" s="47" t="s">
        <v>164</v>
      </c>
      <c r="M27" s="46" t="s">
        <v>192</v>
      </c>
      <c r="N27" s="46" t="s">
        <v>101</v>
      </c>
      <c r="O27" s="46" t="s">
        <v>119</v>
      </c>
      <c r="P27" s="46" t="s">
        <v>261</v>
      </c>
      <c r="Q27" s="46" t="s">
        <v>274</v>
      </c>
      <c r="R27" s="46" t="s">
        <v>275</v>
      </c>
      <c r="S27" s="48"/>
      <c r="T27" s="18"/>
      <c r="U27" s="18"/>
      <c r="V27" s="18"/>
      <c r="W27" s="18"/>
    </row>
    <row r="28" spans="1:23" s="16" customFormat="1" ht="15" customHeight="1" x14ac:dyDescent="0.35">
      <c r="A28" s="40"/>
      <c r="B28" s="41">
        <v>10000000629984</v>
      </c>
      <c r="C28" s="41" t="s">
        <v>107</v>
      </c>
      <c r="D28" s="42" t="s">
        <v>100</v>
      </c>
      <c r="E28" s="43">
        <v>46253</v>
      </c>
      <c r="F28" s="44" t="str">
        <f>TEXT(Table111[[#This Row],[Date of Review]],"dddd")</f>
        <v>Wednesday</v>
      </c>
      <c r="G28" s="45" t="str">
        <f>TEXT(Table111[[#This Row],[Date of Review]],"mmmm")</f>
        <v>August</v>
      </c>
      <c r="H28" s="45" t="s">
        <v>124</v>
      </c>
      <c r="I28" s="45" t="s">
        <v>124</v>
      </c>
      <c r="J28" s="45" t="s">
        <v>124</v>
      </c>
      <c r="K28" s="46" t="s">
        <v>283</v>
      </c>
      <c r="L28" s="47" t="s">
        <v>164</v>
      </c>
      <c r="M28" s="46" t="s">
        <v>193</v>
      </c>
      <c r="N28" s="46" t="s">
        <v>101</v>
      </c>
      <c r="O28" s="46" t="s">
        <v>119</v>
      </c>
      <c r="P28" s="46" t="s">
        <v>262</v>
      </c>
      <c r="Q28" s="46" t="s">
        <v>274</v>
      </c>
      <c r="R28" s="46" t="s">
        <v>275</v>
      </c>
      <c r="S28" s="48"/>
      <c r="T28" s="18"/>
      <c r="U28" s="18"/>
      <c r="V28" s="18"/>
      <c r="W28" s="18"/>
    </row>
    <row r="29" spans="1:23" ht="15" customHeight="1" x14ac:dyDescent="0.35">
      <c r="A29" s="31"/>
      <c r="B29" s="20">
        <v>10000001188828</v>
      </c>
      <c r="C29" s="20" t="s">
        <v>107</v>
      </c>
      <c r="D29" s="21" t="s">
        <v>100</v>
      </c>
      <c r="E29" s="22">
        <v>46254</v>
      </c>
      <c r="F29" s="23" t="str">
        <f>TEXT(Table111[[#This Row],[Date of Review]],"dddd")</f>
        <v>Thursday</v>
      </c>
      <c r="G29" s="24" t="str">
        <f>TEXT(Table111[[#This Row],[Date of Review]],"mmmm")</f>
        <v>August</v>
      </c>
      <c r="H29" s="24" t="s">
        <v>123</v>
      </c>
      <c r="I29" s="24" t="s">
        <v>123</v>
      </c>
      <c r="J29" s="24" t="s">
        <v>123</v>
      </c>
      <c r="K29" s="22" t="s">
        <v>103</v>
      </c>
      <c r="L29" s="25" t="s">
        <v>164</v>
      </c>
      <c r="M29" s="22" t="s">
        <v>194</v>
      </c>
      <c r="N29" s="22" t="s">
        <v>226</v>
      </c>
      <c r="O29" s="22" t="s">
        <v>112</v>
      </c>
      <c r="P29" s="22" t="s">
        <v>263</v>
      </c>
      <c r="Q29" s="22" t="s">
        <v>274</v>
      </c>
      <c r="R29" s="22" t="s">
        <v>102</v>
      </c>
      <c r="S29" s="26" t="s">
        <v>148</v>
      </c>
    </row>
    <row r="30" spans="1:23" ht="15" customHeight="1" x14ac:dyDescent="0.35">
      <c r="A30" s="38"/>
      <c r="B30" s="20">
        <v>10000000640726</v>
      </c>
      <c r="C30" s="20" t="s">
        <v>107</v>
      </c>
      <c r="D30" s="21" t="s">
        <v>100</v>
      </c>
      <c r="E30" s="22">
        <v>46254</v>
      </c>
      <c r="F30" s="23" t="str">
        <f>TEXT(Table111[[#This Row],[Date of Review]],"dddd")</f>
        <v>Thursday</v>
      </c>
      <c r="G30" s="24" t="str">
        <f>TEXT(Table111[[#This Row],[Date of Review]],"mmmm")</f>
        <v>August</v>
      </c>
      <c r="H30" s="24" t="s">
        <v>124</v>
      </c>
      <c r="I30" s="24" t="s">
        <v>124</v>
      </c>
      <c r="J30" s="24" t="s">
        <v>124</v>
      </c>
      <c r="K30" s="22" t="s">
        <v>103</v>
      </c>
      <c r="L30" s="25" t="s">
        <v>164</v>
      </c>
      <c r="M30" s="22" t="s">
        <v>195</v>
      </c>
      <c r="N30" s="22" t="s">
        <v>227</v>
      </c>
      <c r="O30" s="22" t="s">
        <v>105</v>
      </c>
      <c r="P30" s="22" t="s">
        <v>264</v>
      </c>
      <c r="Q30" s="22" t="s">
        <v>274</v>
      </c>
      <c r="R30" s="22" t="s">
        <v>102</v>
      </c>
      <c r="S30" s="26" t="s">
        <v>149</v>
      </c>
    </row>
    <row r="31" spans="1:23" ht="15" customHeight="1" x14ac:dyDescent="0.35">
      <c r="A31" s="31"/>
      <c r="B31" s="20">
        <v>10000000651819</v>
      </c>
      <c r="C31" s="20" t="s">
        <v>107</v>
      </c>
      <c r="D31" s="21" t="s">
        <v>100</v>
      </c>
      <c r="E31" s="22">
        <v>46259</v>
      </c>
      <c r="F31" s="23" t="str">
        <f>TEXT(Table111[[#This Row],[Date of Review]],"dddd")</f>
        <v>Tuesday</v>
      </c>
      <c r="G31" s="24" t="str">
        <f>TEXT(Table111[[#This Row],[Date of Review]],"mmmm")</f>
        <v>August</v>
      </c>
      <c r="H31" s="24" t="s">
        <v>123</v>
      </c>
      <c r="I31" s="24" t="s">
        <v>123</v>
      </c>
      <c r="J31" s="24" t="s">
        <v>123</v>
      </c>
      <c r="K31" s="22" t="s">
        <v>103</v>
      </c>
      <c r="L31" s="25" t="s">
        <v>164</v>
      </c>
      <c r="M31" s="22" t="s">
        <v>196</v>
      </c>
      <c r="N31" s="22" t="s">
        <v>228</v>
      </c>
      <c r="O31" s="22" t="s">
        <v>112</v>
      </c>
      <c r="P31" s="22" t="s">
        <v>265</v>
      </c>
      <c r="Q31" s="22" t="s">
        <v>274</v>
      </c>
      <c r="R31" s="22" t="s">
        <v>102</v>
      </c>
      <c r="S31" s="26" t="s">
        <v>150</v>
      </c>
    </row>
    <row r="32" spans="1:23" ht="15" customHeight="1" x14ac:dyDescent="0.35">
      <c r="A32" s="38"/>
      <c r="B32" s="20">
        <v>10000000662024</v>
      </c>
      <c r="C32" s="20" t="s">
        <v>107</v>
      </c>
      <c r="D32" s="21" t="s">
        <v>100</v>
      </c>
      <c r="E32" s="22">
        <v>46259</v>
      </c>
      <c r="F32" s="23" t="str">
        <f>TEXT(Table111[[#This Row],[Date of Review]],"dddd")</f>
        <v>Tuesday</v>
      </c>
      <c r="G32" s="24" t="str">
        <f>TEXT(Table111[[#This Row],[Date of Review]],"mmmm")</f>
        <v>August</v>
      </c>
      <c r="H32" s="24" t="s">
        <v>124</v>
      </c>
      <c r="I32" s="24" t="s">
        <v>124</v>
      </c>
      <c r="J32" s="24" t="s">
        <v>124</v>
      </c>
      <c r="K32" s="22" t="s">
        <v>103</v>
      </c>
      <c r="L32" s="25" t="s">
        <v>164</v>
      </c>
      <c r="M32" s="22" t="s">
        <v>197</v>
      </c>
      <c r="N32" s="22" t="s">
        <v>229</v>
      </c>
      <c r="O32" s="22" t="s">
        <v>120</v>
      </c>
      <c r="P32" s="22" t="s">
        <v>266</v>
      </c>
      <c r="Q32" s="22" t="s">
        <v>274</v>
      </c>
      <c r="R32" s="22" t="s">
        <v>102</v>
      </c>
      <c r="S32" s="26" t="s">
        <v>151</v>
      </c>
    </row>
    <row r="33" spans="1:19" ht="15" customHeight="1" x14ac:dyDescent="0.35">
      <c r="A33" s="31"/>
      <c r="B33" s="20">
        <v>10000002486722</v>
      </c>
      <c r="C33" s="20" t="s">
        <v>107</v>
      </c>
      <c r="D33" s="21" t="s">
        <v>100</v>
      </c>
      <c r="E33" s="22">
        <v>46260</v>
      </c>
      <c r="F33" s="23" t="str">
        <f>TEXT(Table111[[#This Row],[Date of Review]],"dddd")</f>
        <v>Wednesday</v>
      </c>
      <c r="G33" s="24" t="str">
        <f>TEXT(Table111[[#This Row],[Date of Review]],"mmmm")</f>
        <v>August</v>
      </c>
      <c r="H33" s="24" t="s">
        <v>123</v>
      </c>
      <c r="I33" s="24" t="s">
        <v>123</v>
      </c>
      <c r="J33" s="24" t="s">
        <v>123</v>
      </c>
      <c r="K33" s="22" t="s">
        <v>284</v>
      </c>
      <c r="L33" s="25" t="s">
        <v>165</v>
      </c>
      <c r="M33" s="22" t="s">
        <v>198</v>
      </c>
      <c r="N33" s="22" t="s">
        <v>230</v>
      </c>
      <c r="O33" s="22" t="s">
        <v>121</v>
      </c>
      <c r="P33" s="22" t="s">
        <v>267</v>
      </c>
      <c r="Q33" s="22" t="s">
        <v>274</v>
      </c>
      <c r="R33" s="22" t="s">
        <v>102</v>
      </c>
      <c r="S33" s="26" t="s">
        <v>152</v>
      </c>
    </row>
    <row r="34" spans="1:19" ht="15" customHeight="1" x14ac:dyDescent="0.35">
      <c r="A34" s="38"/>
      <c r="B34" s="20">
        <v>10000001844730</v>
      </c>
      <c r="C34" s="20" t="s">
        <v>107</v>
      </c>
      <c r="D34" s="21" t="s">
        <v>100</v>
      </c>
      <c r="E34" s="22">
        <v>46261</v>
      </c>
      <c r="F34" s="23" t="str">
        <f>TEXT(Table111[[#This Row],[Date of Review]],"dddd")</f>
        <v>Thursday</v>
      </c>
      <c r="G34" s="24" t="str">
        <f>TEXT(Table111[[#This Row],[Date of Review]],"mmmm")</f>
        <v>August</v>
      </c>
      <c r="H34" s="24" t="s">
        <v>124</v>
      </c>
      <c r="I34" s="24" t="s">
        <v>124</v>
      </c>
      <c r="J34" s="24" t="s">
        <v>124</v>
      </c>
      <c r="K34" s="22" t="s">
        <v>279</v>
      </c>
      <c r="L34" s="25" t="s">
        <v>162</v>
      </c>
      <c r="M34" s="22" t="s">
        <v>200</v>
      </c>
      <c r="N34" s="22" t="s">
        <v>232</v>
      </c>
      <c r="O34" s="22" t="s">
        <v>113</v>
      </c>
      <c r="P34" s="22" t="s">
        <v>269</v>
      </c>
      <c r="Q34" s="22" t="s">
        <v>274</v>
      </c>
      <c r="R34" s="22" t="s">
        <v>102</v>
      </c>
      <c r="S34" s="26" t="s">
        <v>154</v>
      </c>
    </row>
    <row r="35" spans="1:19" ht="14" customHeight="1" x14ac:dyDescent="0.35">
      <c r="A35" s="31"/>
      <c r="B35" s="20">
        <v>10000001844750</v>
      </c>
      <c r="C35" s="20" t="s">
        <v>107</v>
      </c>
      <c r="D35" s="21" t="s">
        <v>100</v>
      </c>
      <c r="E35" s="22">
        <v>46266</v>
      </c>
      <c r="F35" s="23" t="str">
        <f>TEXT(Table111[[#This Row],[Date of Review]],"dddd")</f>
        <v>Tuesday</v>
      </c>
      <c r="G35" s="24" t="str">
        <f>TEXT(Table111[[#This Row],[Date of Review]],"mmmm")</f>
        <v>September</v>
      </c>
      <c r="H35" s="24" t="s">
        <v>124</v>
      </c>
      <c r="I35" s="24" t="s">
        <v>124</v>
      </c>
      <c r="J35" s="24" t="s">
        <v>124</v>
      </c>
      <c r="K35" s="22" t="s">
        <v>279</v>
      </c>
      <c r="L35" s="25" t="s">
        <v>162</v>
      </c>
      <c r="M35" s="22" t="s">
        <v>201</v>
      </c>
      <c r="N35" s="22" t="s">
        <v>233</v>
      </c>
      <c r="O35" s="22" t="s">
        <v>113</v>
      </c>
      <c r="P35" s="22" t="s">
        <v>270</v>
      </c>
      <c r="Q35" s="22" t="s">
        <v>274</v>
      </c>
      <c r="R35" s="22" t="s">
        <v>102</v>
      </c>
      <c r="S35" s="26" t="s">
        <v>155</v>
      </c>
    </row>
    <row r="36" spans="1:19" ht="15" customHeight="1" x14ac:dyDescent="0.35">
      <c r="A36" s="38"/>
      <c r="B36" s="20">
        <v>10000001844528</v>
      </c>
      <c r="C36" s="20" t="s">
        <v>107</v>
      </c>
      <c r="D36" s="21" t="s">
        <v>100</v>
      </c>
      <c r="E36" s="22">
        <v>46267</v>
      </c>
      <c r="F36" s="23" t="str">
        <f>TEXT(Table111[[#This Row],[Date of Review]],"dddd")</f>
        <v>Wednesday</v>
      </c>
      <c r="G36" s="24" t="str">
        <f>TEXT(Table111[[#This Row],[Date of Review]],"mmmm")</f>
        <v>September</v>
      </c>
      <c r="H36" s="24" t="s">
        <v>124</v>
      </c>
      <c r="I36" s="24" t="s">
        <v>124</v>
      </c>
      <c r="J36" s="24" t="s">
        <v>124</v>
      </c>
      <c r="K36" s="22" t="s">
        <v>279</v>
      </c>
      <c r="L36" s="25" t="s">
        <v>162</v>
      </c>
      <c r="M36" s="22" t="s">
        <v>202</v>
      </c>
      <c r="N36" s="22" t="s">
        <v>234</v>
      </c>
      <c r="O36" s="22" t="s">
        <v>104</v>
      </c>
      <c r="P36" s="22" t="s">
        <v>271</v>
      </c>
      <c r="Q36" s="22" t="s">
        <v>274</v>
      </c>
      <c r="R36" s="22" t="s">
        <v>102</v>
      </c>
      <c r="S36" s="26" t="s">
        <v>156</v>
      </c>
    </row>
    <row r="37" spans="1:19" ht="15" customHeight="1" x14ac:dyDescent="0.35">
      <c r="A37" s="31"/>
      <c r="B37" s="20">
        <v>10000001844280</v>
      </c>
      <c r="C37" s="20" t="s">
        <v>107</v>
      </c>
      <c r="D37" s="21" t="s">
        <v>100</v>
      </c>
      <c r="E37" s="22">
        <v>46268</v>
      </c>
      <c r="F37" s="23" t="str">
        <f>TEXT(Table111[[#This Row],[Date of Review]],"dddd")</f>
        <v>Thursday</v>
      </c>
      <c r="G37" s="24" t="str">
        <f>TEXT(Table111[[#This Row],[Date of Review]],"mmmm")</f>
        <v>September</v>
      </c>
      <c r="H37" s="24" t="s">
        <v>124</v>
      </c>
      <c r="I37" s="24" t="s">
        <v>124</v>
      </c>
      <c r="J37" s="24" t="s">
        <v>124</v>
      </c>
      <c r="K37" s="22" t="s">
        <v>279</v>
      </c>
      <c r="L37" s="25" t="s">
        <v>162</v>
      </c>
      <c r="M37" s="22" t="s">
        <v>203</v>
      </c>
      <c r="N37" s="22" t="s">
        <v>235</v>
      </c>
      <c r="O37" s="22" t="s">
        <v>105</v>
      </c>
      <c r="P37" s="22" t="s">
        <v>272</v>
      </c>
      <c r="Q37" s="22" t="s">
        <v>274</v>
      </c>
      <c r="R37" s="22" t="s">
        <v>102</v>
      </c>
      <c r="S37" s="26" t="s">
        <v>157</v>
      </c>
    </row>
    <row r="38" spans="1:19" ht="15" customHeight="1" x14ac:dyDescent="0.35">
      <c r="A38" s="38"/>
      <c r="B38" s="20">
        <v>10000002788736</v>
      </c>
      <c r="C38" s="20" t="s">
        <v>107</v>
      </c>
      <c r="D38" s="21" t="s">
        <v>100</v>
      </c>
      <c r="E38" s="22">
        <v>46273</v>
      </c>
      <c r="F38" s="23" t="str">
        <f>TEXT(Table111[[#This Row],[Date of Review]],"dddd")</f>
        <v>Tuesday</v>
      </c>
      <c r="G38" s="24" t="str">
        <f>TEXT(Table111[[#This Row],[Date of Review]],"mmmm")</f>
        <v>September</v>
      </c>
      <c r="H38" s="24" t="s">
        <v>124</v>
      </c>
      <c r="I38" s="24" t="s">
        <v>124</v>
      </c>
      <c r="J38" s="24" t="s">
        <v>124</v>
      </c>
      <c r="K38" s="22" t="s">
        <v>286</v>
      </c>
      <c r="L38" s="25" t="s">
        <v>167</v>
      </c>
      <c r="M38" s="22" t="s">
        <v>204</v>
      </c>
      <c r="N38" s="22" t="s">
        <v>236</v>
      </c>
      <c r="O38" s="22" t="s">
        <v>104</v>
      </c>
      <c r="P38" s="22" t="s">
        <v>273</v>
      </c>
      <c r="Q38" s="22" t="s">
        <v>274</v>
      </c>
      <c r="R38" s="22" t="s">
        <v>102</v>
      </c>
      <c r="S38" s="26" t="s">
        <v>158</v>
      </c>
    </row>
  </sheetData>
  <sheetProtection formatColumns="0"/>
  <phoneticPr fontId="1" type="noConversion"/>
  <conditionalFormatting sqref="A2:A38">
    <cfRule type="expression" dxfId="5" priority="1">
      <formula>$AN2="Yes"</formula>
    </cfRule>
  </conditionalFormatting>
  <conditionalFormatting sqref="B2:C38">
    <cfRule type="expression" dxfId="4" priority="5">
      <formula>$AN2="Yes"</formula>
    </cfRule>
  </conditionalFormatting>
  <conditionalFormatting sqref="D2:D38 M2:O38">
    <cfRule type="expression" dxfId="3" priority="91">
      <formula>$AA2="Yes"</formula>
    </cfRule>
  </conditionalFormatting>
  <conditionalFormatting sqref="E1:E1048576">
    <cfRule type="duplicateValues" dxfId="2" priority="4"/>
  </conditionalFormatting>
  <conditionalFormatting sqref="E2:L38 Q2:R38">
    <cfRule type="expression" dxfId="1" priority="66">
      <formula>$AJ2="Yes"</formula>
    </cfRule>
  </conditionalFormatting>
  <conditionalFormatting sqref="P2:P38 S2:S38">
    <cfRule type="expression" dxfId="0" priority="17">
      <formula>$AG2="Yes"</formula>
    </cfRule>
  </conditionalFormatting>
  <pageMargins left="0.7" right="0.7" top="0.75" bottom="0.75" header="0.3" footer="0.3"/>
  <pageSetup orientation="portrait" r:id="rId1"/>
  <headerFooter>
    <oddFooter xml:space="preserve">&amp;L_x000D_&amp;1#&amp;"Calibri"&amp;10&amp;K000000 Classification: Western Union Unrestricted Internal 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E3D51-E2B7-4780-A7F7-A04029DFBA6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D686-7E52-471D-8C31-82B6F1E1F007}">
  <dimension ref="A1:AA35"/>
  <sheetViews>
    <sheetView workbookViewId="0">
      <selection activeCell="D25" sqref="D25"/>
    </sheetView>
  </sheetViews>
  <sheetFormatPr defaultRowHeight="14.5" x14ac:dyDescent="0.35"/>
  <cols>
    <col min="1" max="1" width="12" customWidth="1"/>
    <col min="2" max="2" width="11.6328125" customWidth="1"/>
    <col min="4" max="4" width="22.453125" bestFit="1" customWidth="1"/>
    <col min="5" max="5" width="18.36328125" style="9" bestFit="1" customWidth="1"/>
    <col min="6" max="6" width="21.6328125" style="9" bestFit="1" customWidth="1"/>
    <col min="9" max="9" width="14.36328125" bestFit="1" customWidth="1"/>
    <col min="10" max="10" width="15.6328125" bestFit="1" customWidth="1"/>
    <col min="11" max="11" width="15.36328125" bestFit="1" customWidth="1"/>
    <col min="12" max="12" width="14.36328125" bestFit="1" customWidth="1"/>
    <col min="13" max="13" width="15.6328125" bestFit="1" customWidth="1"/>
    <col min="14" max="14" width="13.453125" bestFit="1" customWidth="1"/>
    <col min="15" max="15" width="14.36328125" bestFit="1" customWidth="1"/>
    <col min="16" max="16" width="15.6328125" bestFit="1" customWidth="1"/>
    <col min="17" max="17" width="13.54296875" bestFit="1" customWidth="1"/>
    <col min="18" max="18" width="14.36328125" bestFit="1" customWidth="1"/>
    <col min="19" max="19" width="15.6328125" bestFit="1" customWidth="1"/>
    <col min="21" max="21" width="14.36328125" bestFit="1" customWidth="1"/>
    <col min="22" max="22" width="15.6328125" bestFit="1" customWidth="1"/>
    <col min="23" max="23" width="15.36328125" bestFit="1" customWidth="1"/>
    <col min="24" max="24" width="14" bestFit="1" customWidth="1"/>
    <col min="25" max="25" width="13.54296875" bestFit="1" customWidth="1"/>
    <col min="26" max="26" width="13.453125" bestFit="1" customWidth="1"/>
    <col min="27" max="27" width="15.36328125" bestFit="1" customWidth="1"/>
  </cols>
  <sheetData>
    <row r="1" spans="1:27" x14ac:dyDescent="0.35">
      <c r="A1" t="s">
        <v>5</v>
      </c>
      <c r="B1" t="s">
        <v>22</v>
      </c>
      <c r="D1" t="s">
        <v>12</v>
      </c>
      <c r="E1" s="9" t="s">
        <v>23</v>
      </c>
      <c r="F1" s="9" t="s">
        <v>24</v>
      </c>
    </row>
    <row r="2" spans="1:27" x14ac:dyDescent="0.35">
      <c r="A2" t="s">
        <v>25</v>
      </c>
      <c r="B2" t="s">
        <v>26</v>
      </c>
      <c r="D2" t="s">
        <v>27</v>
      </c>
      <c r="E2" s="9" t="s">
        <v>28</v>
      </c>
      <c r="F2" s="9" t="s">
        <v>29</v>
      </c>
      <c r="I2" s="49" t="s">
        <v>30</v>
      </c>
      <c r="J2" s="49"/>
      <c r="L2" s="49" t="s">
        <v>31</v>
      </c>
      <c r="M2" s="49"/>
      <c r="O2" s="49" t="s">
        <v>32</v>
      </c>
      <c r="P2" s="49"/>
      <c r="R2" s="49" t="s">
        <v>33</v>
      </c>
      <c r="S2" s="49"/>
      <c r="U2" s="49" t="s">
        <v>34</v>
      </c>
      <c r="V2" s="49"/>
      <c r="X2" t="s">
        <v>35</v>
      </c>
      <c r="Y2" s="49"/>
      <c r="Z2" s="49"/>
      <c r="AA2" s="49"/>
    </row>
    <row r="3" spans="1:27" x14ac:dyDescent="0.35">
      <c r="A3" t="s">
        <v>36</v>
      </c>
      <c r="B3" t="s">
        <v>26</v>
      </c>
      <c r="D3" t="s">
        <v>37</v>
      </c>
      <c r="E3" s="9" t="s">
        <v>38</v>
      </c>
      <c r="F3" s="9" t="s">
        <v>39</v>
      </c>
      <c r="I3" t="s">
        <v>6</v>
      </c>
      <c r="J3" t="s">
        <v>40</v>
      </c>
      <c r="L3" t="s">
        <v>6</v>
      </c>
      <c r="M3" t="s">
        <v>40</v>
      </c>
      <c r="O3" t="s">
        <v>6</v>
      </c>
      <c r="P3" t="s">
        <v>40</v>
      </c>
      <c r="R3" t="s">
        <v>6</v>
      </c>
      <c r="S3" t="s">
        <v>40</v>
      </c>
      <c r="U3" t="s">
        <v>6</v>
      </c>
      <c r="V3" t="s">
        <v>40</v>
      </c>
    </row>
    <row r="4" spans="1:27" x14ac:dyDescent="0.35">
      <c r="A4" t="s">
        <v>41</v>
      </c>
      <c r="B4" t="s">
        <v>26</v>
      </c>
      <c r="D4" t="s">
        <v>42</v>
      </c>
      <c r="E4" s="9" t="s">
        <v>38</v>
      </c>
      <c r="F4" s="9" t="s">
        <v>39</v>
      </c>
      <c r="I4" t="s">
        <v>43</v>
      </c>
      <c r="J4" t="s">
        <v>44</v>
      </c>
      <c r="L4" t="s">
        <v>43</v>
      </c>
      <c r="M4" t="s">
        <v>45</v>
      </c>
      <c r="O4" t="s">
        <v>43</v>
      </c>
      <c r="P4" t="s">
        <v>43</v>
      </c>
      <c r="R4" t="s">
        <v>43</v>
      </c>
      <c r="S4" t="s">
        <v>46</v>
      </c>
      <c r="U4" t="s">
        <v>43</v>
      </c>
      <c r="V4" t="s">
        <v>47</v>
      </c>
    </row>
    <row r="5" spans="1:27" x14ac:dyDescent="0.35">
      <c r="A5" t="s">
        <v>48</v>
      </c>
      <c r="B5" t="s">
        <v>26</v>
      </c>
      <c r="D5" t="s">
        <v>49</v>
      </c>
      <c r="E5" s="9" t="s">
        <v>29</v>
      </c>
      <c r="F5" s="9" t="s">
        <v>38</v>
      </c>
      <c r="I5" t="s">
        <v>46</v>
      </c>
      <c r="J5" t="s">
        <v>45</v>
      </c>
      <c r="L5" t="s">
        <v>46</v>
      </c>
      <c r="M5" t="s">
        <v>43</v>
      </c>
      <c r="O5" t="s">
        <v>46</v>
      </c>
      <c r="P5" t="s">
        <v>46</v>
      </c>
      <c r="R5" t="s">
        <v>46</v>
      </c>
      <c r="S5" t="s">
        <v>47</v>
      </c>
      <c r="U5" t="s">
        <v>46</v>
      </c>
      <c r="V5" t="s">
        <v>17</v>
      </c>
    </row>
    <row r="6" spans="1:27" x14ac:dyDescent="0.35">
      <c r="A6" t="s">
        <v>50</v>
      </c>
      <c r="B6" t="s">
        <v>26</v>
      </c>
      <c r="D6" t="s">
        <v>51</v>
      </c>
      <c r="E6" s="9" t="s">
        <v>28</v>
      </c>
      <c r="F6" s="9" t="s">
        <v>29</v>
      </c>
      <c r="I6" t="s">
        <v>47</v>
      </c>
      <c r="J6" t="s">
        <v>43</v>
      </c>
      <c r="L6" t="s">
        <v>47</v>
      </c>
      <c r="M6" t="s">
        <v>46</v>
      </c>
      <c r="O6" t="s">
        <v>47</v>
      </c>
      <c r="P6" t="s">
        <v>47</v>
      </c>
      <c r="R6" t="s">
        <v>47</v>
      </c>
      <c r="S6" t="s">
        <v>17</v>
      </c>
      <c r="U6" t="s">
        <v>47</v>
      </c>
      <c r="V6" t="s">
        <v>18</v>
      </c>
    </row>
    <row r="7" spans="1:27" x14ac:dyDescent="0.35">
      <c r="A7" t="s">
        <v>52</v>
      </c>
      <c r="B7" t="s">
        <v>26</v>
      </c>
      <c r="D7" t="s">
        <v>53</v>
      </c>
      <c r="E7" s="9" t="s">
        <v>28</v>
      </c>
      <c r="F7" s="9" t="s">
        <v>29</v>
      </c>
      <c r="I7" t="s">
        <v>17</v>
      </c>
      <c r="J7" t="s">
        <v>46</v>
      </c>
      <c r="L7" t="s">
        <v>17</v>
      </c>
      <c r="M7" t="s">
        <v>47</v>
      </c>
      <c r="O7" t="s">
        <v>17</v>
      </c>
      <c r="P7" t="s">
        <v>17</v>
      </c>
      <c r="R7" t="s">
        <v>17</v>
      </c>
      <c r="S7" t="s">
        <v>18</v>
      </c>
      <c r="U7" t="s">
        <v>17</v>
      </c>
      <c r="V7" t="s">
        <v>19</v>
      </c>
    </row>
    <row r="8" spans="1:27" x14ac:dyDescent="0.35">
      <c r="A8" t="s">
        <v>54</v>
      </c>
      <c r="B8" t="s">
        <v>26</v>
      </c>
      <c r="D8" t="s">
        <v>55</v>
      </c>
      <c r="E8" s="9" t="s">
        <v>29</v>
      </c>
      <c r="F8" s="9" t="s">
        <v>38</v>
      </c>
      <c r="I8" t="s">
        <v>18</v>
      </c>
      <c r="J8" t="s">
        <v>47</v>
      </c>
      <c r="L8" t="s">
        <v>18</v>
      </c>
      <c r="M8" t="s">
        <v>17</v>
      </c>
      <c r="O8" t="s">
        <v>18</v>
      </c>
      <c r="P8" t="s">
        <v>18</v>
      </c>
      <c r="R8" t="s">
        <v>18</v>
      </c>
      <c r="S8" t="s">
        <v>19</v>
      </c>
      <c r="U8" t="s">
        <v>18</v>
      </c>
      <c r="V8" t="s">
        <v>56</v>
      </c>
    </row>
    <row r="9" spans="1:27" x14ac:dyDescent="0.35">
      <c r="A9" t="s">
        <v>57</v>
      </c>
      <c r="B9" t="s">
        <v>26</v>
      </c>
      <c r="D9" t="s">
        <v>58</v>
      </c>
      <c r="E9" s="9" t="s">
        <v>28</v>
      </c>
      <c r="F9" s="9" t="s">
        <v>29</v>
      </c>
      <c r="I9" t="s">
        <v>19</v>
      </c>
      <c r="J9" t="s">
        <v>17</v>
      </c>
      <c r="L9" t="s">
        <v>19</v>
      </c>
      <c r="M9" t="s">
        <v>18</v>
      </c>
      <c r="O9" t="s">
        <v>19</v>
      </c>
      <c r="P9" t="s">
        <v>19</v>
      </c>
      <c r="R9" t="s">
        <v>19</v>
      </c>
      <c r="S9" t="s">
        <v>56</v>
      </c>
      <c r="U9" t="s">
        <v>19</v>
      </c>
      <c r="V9" t="s">
        <v>20</v>
      </c>
    </row>
    <row r="10" spans="1:27" x14ac:dyDescent="0.35">
      <c r="A10" t="s">
        <v>59</v>
      </c>
      <c r="B10" t="s">
        <v>26</v>
      </c>
      <c r="D10" t="s">
        <v>60</v>
      </c>
      <c r="E10" s="9" t="s">
        <v>28</v>
      </c>
      <c r="F10" s="9" t="s">
        <v>29</v>
      </c>
      <c r="I10" t="s">
        <v>56</v>
      </c>
      <c r="J10" t="s">
        <v>18</v>
      </c>
      <c r="L10" t="s">
        <v>56</v>
      </c>
      <c r="M10" t="s">
        <v>19</v>
      </c>
      <c r="O10" t="s">
        <v>56</v>
      </c>
      <c r="P10" t="s">
        <v>56</v>
      </c>
      <c r="R10" t="s">
        <v>56</v>
      </c>
      <c r="S10" t="s">
        <v>20</v>
      </c>
      <c r="U10" t="s">
        <v>56</v>
      </c>
      <c r="V10" t="s">
        <v>61</v>
      </c>
    </row>
    <row r="11" spans="1:27" x14ac:dyDescent="0.35">
      <c r="A11" t="s">
        <v>62</v>
      </c>
      <c r="B11" t="s">
        <v>26</v>
      </c>
      <c r="D11" t="s">
        <v>63</v>
      </c>
      <c r="E11" s="9" t="s">
        <v>28</v>
      </c>
      <c r="F11" s="9" t="s">
        <v>29</v>
      </c>
      <c r="I11" t="s">
        <v>20</v>
      </c>
      <c r="J11" t="s">
        <v>19</v>
      </c>
      <c r="L11" t="s">
        <v>20</v>
      </c>
      <c r="M11" t="s">
        <v>56</v>
      </c>
      <c r="O11" t="s">
        <v>20</v>
      </c>
      <c r="P11" t="s">
        <v>20</v>
      </c>
      <c r="R11" t="s">
        <v>20</v>
      </c>
      <c r="S11" t="s">
        <v>61</v>
      </c>
      <c r="U11" t="s">
        <v>20</v>
      </c>
      <c r="V11" t="s">
        <v>64</v>
      </c>
    </row>
    <row r="12" spans="1:27" x14ac:dyDescent="0.35">
      <c r="A12" t="s">
        <v>65</v>
      </c>
      <c r="B12" t="s">
        <v>26</v>
      </c>
      <c r="D12" t="s">
        <v>66</v>
      </c>
      <c r="E12" s="9" t="s">
        <v>28</v>
      </c>
      <c r="F12" s="9" t="s">
        <v>29</v>
      </c>
      <c r="I12" t="s">
        <v>61</v>
      </c>
      <c r="J12" t="s">
        <v>56</v>
      </c>
      <c r="L12" t="s">
        <v>61</v>
      </c>
      <c r="M12" t="s">
        <v>20</v>
      </c>
      <c r="O12" t="s">
        <v>61</v>
      </c>
      <c r="P12" t="s">
        <v>61</v>
      </c>
      <c r="R12" t="s">
        <v>61</v>
      </c>
      <c r="S12" t="s">
        <v>64</v>
      </c>
      <c r="U12" t="s">
        <v>61</v>
      </c>
      <c r="V12" t="s">
        <v>67</v>
      </c>
    </row>
    <row r="13" spans="1:27" x14ac:dyDescent="0.35">
      <c r="A13" t="s">
        <v>68</v>
      </c>
      <c r="B13" t="s">
        <v>26</v>
      </c>
      <c r="D13" t="s">
        <v>69</v>
      </c>
      <c r="E13" s="9" t="s">
        <v>28</v>
      </c>
      <c r="F13" s="9" t="s">
        <v>29</v>
      </c>
      <c r="I13" t="s">
        <v>64</v>
      </c>
      <c r="J13" t="s">
        <v>20</v>
      </c>
      <c r="L13" t="s">
        <v>64</v>
      </c>
      <c r="M13" t="s">
        <v>61</v>
      </c>
      <c r="O13" t="s">
        <v>64</v>
      </c>
      <c r="P13" t="s">
        <v>64</v>
      </c>
      <c r="R13" t="s">
        <v>64</v>
      </c>
      <c r="S13" t="s">
        <v>67</v>
      </c>
      <c r="U13" t="s">
        <v>64</v>
      </c>
      <c r="V13" t="s">
        <v>70</v>
      </c>
    </row>
    <row r="14" spans="1:27" x14ac:dyDescent="0.35">
      <c r="D14" t="s">
        <v>71</v>
      </c>
      <c r="E14" s="9" t="s">
        <v>28</v>
      </c>
      <c r="F14" s="9" t="s">
        <v>29</v>
      </c>
      <c r="I14" t="s">
        <v>67</v>
      </c>
      <c r="J14" t="s">
        <v>61</v>
      </c>
      <c r="L14" t="s">
        <v>67</v>
      </c>
      <c r="M14" t="s">
        <v>64</v>
      </c>
      <c r="O14" t="s">
        <v>67</v>
      </c>
      <c r="P14" t="s">
        <v>67</v>
      </c>
      <c r="R14" t="s">
        <v>67</v>
      </c>
      <c r="S14" t="s">
        <v>70</v>
      </c>
      <c r="U14" t="s">
        <v>67</v>
      </c>
      <c r="V14" t="s">
        <v>72</v>
      </c>
    </row>
    <row r="15" spans="1:27" x14ac:dyDescent="0.35">
      <c r="D15" t="s">
        <v>73</v>
      </c>
      <c r="E15" s="9" t="s">
        <v>28</v>
      </c>
      <c r="F15" s="9" t="s">
        <v>29</v>
      </c>
      <c r="I15" t="s">
        <v>70</v>
      </c>
      <c r="J15" t="s">
        <v>64</v>
      </c>
      <c r="L15" t="s">
        <v>70</v>
      </c>
      <c r="M15" t="s">
        <v>67</v>
      </c>
      <c r="O15" t="s">
        <v>21</v>
      </c>
      <c r="P15" t="s">
        <v>21</v>
      </c>
      <c r="R15" t="s">
        <v>70</v>
      </c>
      <c r="S15" t="s">
        <v>72</v>
      </c>
      <c r="U15" t="s">
        <v>70</v>
      </c>
      <c r="V15" t="s">
        <v>74</v>
      </c>
    </row>
    <row r="16" spans="1:27" x14ac:dyDescent="0.35">
      <c r="D16" t="s">
        <v>75</v>
      </c>
      <c r="E16" s="9" t="s">
        <v>28</v>
      </c>
      <c r="F16" s="9" t="s">
        <v>29</v>
      </c>
      <c r="I16" t="s">
        <v>72</v>
      </c>
      <c r="J16" t="s">
        <v>67</v>
      </c>
      <c r="L16" t="s">
        <v>72</v>
      </c>
      <c r="M16" t="s">
        <v>70</v>
      </c>
      <c r="O16" t="s">
        <v>76</v>
      </c>
      <c r="P16" t="s">
        <v>76</v>
      </c>
      <c r="R16" t="s">
        <v>72</v>
      </c>
      <c r="S16" t="s">
        <v>74</v>
      </c>
      <c r="U16" t="s">
        <v>72</v>
      </c>
      <c r="V16" t="s">
        <v>77</v>
      </c>
    </row>
    <row r="17" spans="4:16" x14ac:dyDescent="0.35">
      <c r="D17" t="s">
        <v>78</v>
      </c>
      <c r="E17" s="9" t="s">
        <v>28</v>
      </c>
      <c r="F17" s="9" t="s">
        <v>29</v>
      </c>
      <c r="O17" t="s">
        <v>70</v>
      </c>
      <c r="P17" t="s">
        <v>70</v>
      </c>
    </row>
    <row r="18" spans="4:16" x14ac:dyDescent="0.35">
      <c r="D18" t="s">
        <v>79</v>
      </c>
      <c r="E18" s="9" t="s">
        <v>28</v>
      </c>
      <c r="F18" s="9" t="s">
        <v>29</v>
      </c>
      <c r="O18" t="s">
        <v>72</v>
      </c>
      <c r="P18" t="s">
        <v>72</v>
      </c>
    </row>
    <row r="19" spans="4:16" x14ac:dyDescent="0.35">
      <c r="D19" t="s">
        <v>80</v>
      </c>
      <c r="E19" s="9" t="s">
        <v>28</v>
      </c>
      <c r="F19" s="9" t="s">
        <v>29</v>
      </c>
    </row>
    <row r="20" spans="4:16" x14ac:dyDescent="0.35">
      <c r="D20" t="s">
        <v>81</v>
      </c>
      <c r="E20" s="9" t="s">
        <v>28</v>
      </c>
      <c r="F20" s="9" t="s">
        <v>29</v>
      </c>
    </row>
    <row r="21" spans="4:16" x14ac:dyDescent="0.35">
      <c r="D21" t="s">
        <v>82</v>
      </c>
      <c r="E21" s="9" t="s">
        <v>29</v>
      </c>
      <c r="F21" s="9" t="s">
        <v>38</v>
      </c>
    </row>
    <row r="22" spans="4:16" x14ac:dyDescent="0.35">
      <c r="D22" t="s">
        <v>83</v>
      </c>
      <c r="E22" s="9" t="s">
        <v>28</v>
      </c>
      <c r="F22" s="9" t="s">
        <v>29</v>
      </c>
    </row>
    <row r="23" spans="4:16" x14ac:dyDescent="0.35">
      <c r="D23" t="s">
        <v>84</v>
      </c>
      <c r="E23" s="9" t="s">
        <v>28</v>
      </c>
      <c r="F23" s="9" t="s">
        <v>29</v>
      </c>
    </row>
    <row r="24" spans="4:16" x14ac:dyDescent="0.35">
      <c r="D24" t="s">
        <v>85</v>
      </c>
      <c r="E24" s="9" t="s">
        <v>28</v>
      </c>
      <c r="F24" s="9" t="s">
        <v>29</v>
      </c>
    </row>
    <row r="25" spans="4:16" x14ac:dyDescent="0.35">
      <c r="D25" t="s">
        <v>86</v>
      </c>
      <c r="E25" s="9" t="s">
        <v>28</v>
      </c>
      <c r="F25" s="9" t="s">
        <v>29</v>
      </c>
    </row>
    <row r="26" spans="4:16" x14ac:dyDescent="0.35">
      <c r="D26" t="s">
        <v>87</v>
      </c>
      <c r="E26" s="9" t="s">
        <v>28</v>
      </c>
      <c r="F26" s="9" t="s">
        <v>28</v>
      </c>
    </row>
    <row r="27" spans="4:16" x14ac:dyDescent="0.35">
      <c r="D27" t="s">
        <v>88</v>
      </c>
      <c r="E27" s="9" t="s">
        <v>28</v>
      </c>
      <c r="F27" s="9" t="s">
        <v>29</v>
      </c>
    </row>
    <row r="28" spans="4:16" x14ac:dyDescent="0.35">
      <c r="D28" t="s">
        <v>89</v>
      </c>
      <c r="E28" s="9" t="s">
        <v>29</v>
      </c>
      <c r="F28" s="9" t="s">
        <v>38</v>
      </c>
    </row>
    <row r="29" spans="4:16" x14ac:dyDescent="0.35">
      <c r="D29" t="s">
        <v>90</v>
      </c>
      <c r="E29" s="9" t="s">
        <v>38</v>
      </c>
      <c r="F29" s="9" t="s">
        <v>38</v>
      </c>
    </row>
    <row r="30" spans="4:16" x14ac:dyDescent="0.35">
      <c r="D30" t="s">
        <v>91</v>
      </c>
      <c r="E30" s="9" t="s">
        <v>28</v>
      </c>
      <c r="F30" s="9" t="s">
        <v>29</v>
      </c>
    </row>
    <row r="31" spans="4:16" x14ac:dyDescent="0.35">
      <c r="D31" t="s">
        <v>92</v>
      </c>
      <c r="E31" s="9" t="s">
        <v>28</v>
      </c>
      <c r="F31" s="9" t="s">
        <v>29</v>
      </c>
    </row>
    <row r="32" spans="4:16" x14ac:dyDescent="0.35">
      <c r="D32" t="s">
        <v>93</v>
      </c>
      <c r="E32" s="9" t="s">
        <v>28</v>
      </c>
      <c r="F32" s="9" t="s">
        <v>29</v>
      </c>
    </row>
    <row r="33" spans="4:6" x14ac:dyDescent="0.35">
      <c r="D33" t="s">
        <v>94</v>
      </c>
      <c r="E33" s="9" t="s">
        <v>28</v>
      </c>
      <c r="F33" s="9" t="s">
        <v>29</v>
      </c>
    </row>
    <row r="34" spans="4:6" x14ac:dyDescent="0.35">
      <c r="D34" t="s">
        <v>95</v>
      </c>
      <c r="E34" s="9" t="s">
        <v>28</v>
      </c>
      <c r="F34" s="9" t="s">
        <v>29</v>
      </c>
    </row>
    <row r="35" spans="4:6" x14ac:dyDescent="0.35">
      <c r="D35" t="s">
        <v>96</v>
      </c>
      <c r="E35" s="9" t="s">
        <v>28</v>
      </c>
      <c r="F35" s="9" t="s">
        <v>29</v>
      </c>
    </row>
  </sheetData>
  <mergeCells count="6">
    <mergeCell ref="Y2:AA2"/>
    <mergeCell ref="I2:J2"/>
    <mergeCell ref="L2:M2"/>
    <mergeCell ref="O2:P2"/>
    <mergeCell ref="R2:S2"/>
    <mergeCell ref="U2:V2"/>
  </mergeCells>
  <phoneticPr fontId="1" type="noConversion"/>
  <pageMargins left="0.7" right="0.7" top="0.75" bottom="0.75" header="0.3" footer="0.3"/>
  <headerFooter>
    <oddFooter xml:space="preserve">&amp;L_x000D_&amp;1#&amp;"Calibri"&amp;10&amp;K000000 Classification: Western Union Unrestricted Internal </oddFooter>
  </headerFooter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F3999-498F-45C1-889E-424B0806D7A7}">
  <dimension ref="A1:AG18"/>
  <sheetViews>
    <sheetView workbookViewId="0">
      <selection activeCell="E18" sqref="E18:G18"/>
    </sheetView>
  </sheetViews>
  <sheetFormatPr defaultRowHeight="14.5" x14ac:dyDescent="0.35"/>
  <cols>
    <col min="1" max="1" width="17.54296875" style="27" bestFit="1" customWidth="1"/>
    <col min="2" max="2" width="17.54296875" style="27" customWidth="1"/>
    <col min="3" max="3" width="17.6328125" customWidth="1"/>
    <col min="7" max="7" width="9.453125" bestFit="1" customWidth="1"/>
  </cols>
  <sheetData>
    <row r="1" spans="1:33" x14ac:dyDescent="0.35">
      <c r="A1" s="27" t="s">
        <v>288</v>
      </c>
      <c r="B1" s="27" t="s">
        <v>287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  <c r="L1" t="s">
        <v>298</v>
      </c>
      <c r="M1" t="s">
        <v>299</v>
      </c>
      <c r="N1" t="s">
        <v>300</v>
      </c>
      <c r="O1" t="s">
        <v>301</v>
      </c>
      <c r="P1" t="s">
        <v>302</v>
      </c>
      <c r="Q1" t="s">
        <v>303</v>
      </c>
      <c r="R1" t="s">
        <v>304</v>
      </c>
      <c r="S1" t="s">
        <v>305</v>
      </c>
      <c r="T1" t="s">
        <v>306</v>
      </c>
      <c r="U1" t="s">
        <v>307</v>
      </c>
      <c r="V1" t="s">
        <v>308</v>
      </c>
      <c r="W1" t="s">
        <v>309</v>
      </c>
      <c r="X1" t="s">
        <v>310</v>
      </c>
      <c r="Y1" t="s">
        <v>311</v>
      </c>
      <c r="Z1" t="s">
        <v>312</v>
      </c>
      <c r="AA1" t="s">
        <v>313</v>
      </c>
      <c r="AB1" t="s">
        <v>314</v>
      </c>
      <c r="AC1" t="s">
        <v>315</v>
      </c>
      <c r="AD1" t="s">
        <v>316</v>
      </c>
      <c r="AE1" t="s">
        <v>317</v>
      </c>
      <c r="AF1" t="s">
        <v>318</v>
      </c>
      <c r="AG1" t="s">
        <v>287</v>
      </c>
    </row>
    <row r="2" spans="1:33" s="29" customFormat="1" x14ac:dyDescent="0.35">
      <c r="A2" s="28">
        <v>10000001844280</v>
      </c>
      <c r="B2" s="28" t="s">
        <v>363</v>
      </c>
      <c r="C2" s="29" t="s">
        <v>319</v>
      </c>
      <c r="D2" s="29" t="s">
        <v>320</v>
      </c>
      <c r="E2" s="29" t="s">
        <v>162</v>
      </c>
      <c r="F2" s="29" t="s">
        <v>321</v>
      </c>
      <c r="G2" s="29" t="s">
        <v>274</v>
      </c>
      <c r="H2" s="29" t="s">
        <v>322</v>
      </c>
      <c r="I2" s="29" t="s">
        <v>323</v>
      </c>
      <c r="K2" s="29" t="s">
        <v>203</v>
      </c>
      <c r="L2" s="29" t="s">
        <v>324</v>
      </c>
      <c r="M2" s="29" t="s">
        <v>324</v>
      </c>
      <c r="N2" s="29">
        <v>42107</v>
      </c>
      <c r="O2" s="29" t="s">
        <v>325</v>
      </c>
      <c r="P2" s="29" t="s">
        <v>326</v>
      </c>
      <c r="Q2" s="29" t="s">
        <v>327</v>
      </c>
      <c r="R2" s="29" t="s">
        <v>326</v>
      </c>
      <c r="S2" s="29" t="s">
        <v>73</v>
      </c>
      <c r="T2" s="29">
        <v>37960</v>
      </c>
      <c r="U2" s="29" t="s">
        <v>328</v>
      </c>
      <c r="V2" s="29" t="s">
        <v>329</v>
      </c>
      <c r="X2" s="29">
        <v>900</v>
      </c>
      <c r="Y2" s="29">
        <v>1800</v>
      </c>
      <c r="Z2" s="29">
        <v>900</v>
      </c>
      <c r="AA2" s="29">
        <v>1400</v>
      </c>
      <c r="AB2" s="29">
        <v>0</v>
      </c>
      <c r="AC2" s="29">
        <v>0</v>
      </c>
      <c r="AD2" s="29" t="s">
        <v>330</v>
      </c>
      <c r="AE2" s="29" t="s">
        <v>330</v>
      </c>
      <c r="AF2" s="29">
        <v>91</v>
      </c>
      <c r="AG2" s="29" t="s">
        <v>331</v>
      </c>
    </row>
    <row r="3" spans="1:33" x14ac:dyDescent="0.35">
      <c r="A3" s="27">
        <v>10000001844374</v>
      </c>
      <c r="C3" t="s">
        <v>332</v>
      </c>
      <c r="D3" t="s">
        <v>320</v>
      </c>
      <c r="E3" t="s">
        <v>162</v>
      </c>
      <c r="F3" t="s">
        <v>321</v>
      </c>
      <c r="G3" t="s">
        <v>274</v>
      </c>
      <c r="H3" t="s">
        <v>322</v>
      </c>
      <c r="I3" t="s">
        <v>323</v>
      </c>
      <c r="K3" t="s">
        <v>333</v>
      </c>
      <c r="L3" t="s">
        <v>324</v>
      </c>
      <c r="M3" t="s">
        <v>324</v>
      </c>
      <c r="N3">
        <v>42107</v>
      </c>
      <c r="O3" t="s">
        <v>334</v>
      </c>
      <c r="P3" t="s">
        <v>326</v>
      </c>
      <c r="Q3" t="s">
        <v>335</v>
      </c>
      <c r="R3" t="s">
        <v>326</v>
      </c>
      <c r="S3" t="s">
        <v>73</v>
      </c>
      <c r="T3">
        <v>37110</v>
      </c>
      <c r="U3" t="s">
        <v>328</v>
      </c>
      <c r="V3" t="s">
        <v>329</v>
      </c>
      <c r="X3">
        <v>900</v>
      </c>
      <c r="Y3">
        <v>1800</v>
      </c>
      <c r="Z3">
        <v>900</v>
      </c>
      <c r="AA3">
        <v>1400</v>
      </c>
      <c r="AB3">
        <v>0</v>
      </c>
      <c r="AC3">
        <v>0</v>
      </c>
      <c r="AD3" t="s">
        <v>330</v>
      </c>
      <c r="AE3" t="s">
        <v>330</v>
      </c>
      <c r="AF3">
        <v>91</v>
      </c>
      <c r="AG3" t="s">
        <v>331</v>
      </c>
    </row>
    <row r="4" spans="1:33" x14ac:dyDescent="0.35">
      <c r="A4" s="27">
        <v>10000001844528</v>
      </c>
      <c r="C4" t="s">
        <v>336</v>
      </c>
      <c r="D4" t="s">
        <v>320</v>
      </c>
      <c r="E4" t="s">
        <v>162</v>
      </c>
      <c r="F4" t="s">
        <v>321</v>
      </c>
      <c r="G4" t="s">
        <v>274</v>
      </c>
      <c r="H4" t="s">
        <v>322</v>
      </c>
      <c r="I4" t="s">
        <v>323</v>
      </c>
      <c r="K4" t="s">
        <v>337</v>
      </c>
      <c r="L4" t="s">
        <v>324</v>
      </c>
      <c r="M4" t="s">
        <v>324</v>
      </c>
      <c r="N4">
        <v>42107</v>
      </c>
      <c r="O4" t="s">
        <v>338</v>
      </c>
      <c r="P4" t="s">
        <v>326</v>
      </c>
      <c r="Q4" t="s">
        <v>339</v>
      </c>
      <c r="R4" t="s">
        <v>326</v>
      </c>
      <c r="S4" t="s">
        <v>79</v>
      </c>
      <c r="T4">
        <v>49400</v>
      </c>
      <c r="U4" t="s">
        <v>328</v>
      </c>
      <c r="V4" t="s">
        <v>329</v>
      </c>
      <c r="X4">
        <v>900</v>
      </c>
      <c r="Y4">
        <v>1800</v>
      </c>
      <c r="Z4">
        <v>900</v>
      </c>
      <c r="AA4">
        <v>1400</v>
      </c>
      <c r="AB4">
        <v>0</v>
      </c>
      <c r="AC4">
        <v>0</v>
      </c>
      <c r="AD4" t="s">
        <v>330</v>
      </c>
      <c r="AE4" t="s">
        <v>330</v>
      </c>
      <c r="AF4">
        <v>91</v>
      </c>
      <c r="AG4" t="s">
        <v>331</v>
      </c>
    </row>
    <row r="5" spans="1:33" x14ac:dyDescent="0.35">
      <c r="A5" s="27">
        <v>10000001844730</v>
      </c>
      <c r="C5" t="s">
        <v>340</v>
      </c>
      <c r="D5" t="s">
        <v>320</v>
      </c>
      <c r="E5" t="s">
        <v>162</v>
      </c>
      <c r="F5" t="s">
        <v>321</v>
      </c>
      <c r="G5" t="s">
        <v>274</v>
      </c>
      <c r="H5" t="s">
        <v>322</v>
      </c>
      <c r="I5" t="s">
        <v>323</v>
      </c>
      <c r="K5" t="s">
        <v>341</v>
      </c>
      <c r="L5" t="s">
        <v>324</v>
      </c>
      <c r="M5" t="s">
        <v>324</v>
      </c>
      <c r="N5">
        <v>42107</v>
      </c>
      <c r="O5" t="s">
        <v>342</v>
      </c>
      <c r="P5" t="s">
        <v>326</v>
      </c>
      <c r="Q5" t="s">
        <v>343</v>
      </c>
      <c r="R5" t="s">
        <v>326</v>
      </c>
      <c r="S5" t="s">
        <v>84</v>
      </c>
      <c r="T5">
        <v>71835</v>
      </c>
      <c r="U5" t="s">
        <v>328</v>
      </c>
      <c r="V5" t="s">
        <v>329</v>
      </c>
      <c r="X5">
        <v>900</v>
      </c>
      <c r="Y5">
        <v>1900</v>
      </c>
      <c r="Z5">
        <v>900</v>
      </c>
      <c r="AA5">
        <v>1900</v>
      </c>
      <c r="AB5">
        <v>900</v>
      </c>
      <c r="AC5">
        <v>1400</v>
      </c>
      <c r="AD5" t="s">
        <v>330</v>
      </c>
      <c r="AE5" t="s">
        <v>330</v>
      </c>
      <c r="AF5">
        <v>91</v>
      </c>
      <c r="AG5" t="s">
        <v>331</v>
      </c>
    </row>
    <row r="6" spans="1:33" x14ac:dyDescent="0.35">
      <c r="A6" s="27">
        <v>10000001844750</v>
      </c>
      <c r="C6" t="s">
        <v>344</v>
      </c>
      <c r="D6" t="s">
        <v>320</v>
      </c>
      <c r="E6" t="s">
        <v>162</v>
      </c>
      <c r="F6" t="s">
        <v>321</v>
      </c>
      <c r="G6" t="s">
        <v>274</v>
      </c>
      <c r="H6" t="s">
        <v>322</v>
      </c>
      <c r="I6" t="s">
        <v>323</v>
      </c>
      <c r="K6" t="s">
        <v>345</v>
      </c>
      <c r="L6" t="s">
        <v>324</v>
      </c>
      <c r="M6" t="s">
        <v>324</v>
      </c>
      <c r="N6">
        <v>42107</v>
      </c>
      <c r="O6" t="s">
        <v>346</v>
      </c>
      <c r="P6" t="s">
        <v>347</v>
      </c>
      <c r="Q6" t="s">
        <v>348</v>
      </c>
      <c r="R6" t="s">
        <v>326</v>
      </c>
      <c r="S6" t="s">
        <v>84</v>
      </c>
      <c r="T6">
        <v>71900</v>
      </c>
      <c r="U6" t="s">
        <v>328</v>
      </c>
      <c r="V6" t="s">
        <v>329</v>
      </c>
      <c r="X6">
        <v>900</v>
      </c>
      <c r="Y6">
        <v>1800</v>
      </c>
      <c r="Z6">
        <v>900</v>
      </c>
      <c r="AA6">
        <v>1400</v>
      </c>
      <c r="AB6">
        <v>0</v>
      </c>
      <c r="AC6">
        <v>0</v>
      </c>
      <c r="AD6" t="s">
        <v>330</v>
      </c>
      <c r="AE6" t="s">
        <v>330</v>
      </c>
      <c r="AF6">
        <v>91</v>
      </c>
      <c r="AG6" t="s">
        <v>331</v>
      </c>
    </row>
    <row r="7" spans="1:33" s="29" customFormat="1" x14ac:dyDescent="0.35">
      <c r="A7" s="28">
        <v>10000001919486</v>
      </c>
      <c r="B7" s="28"/>
      <c r="C7" s="29" t="s">
        <v>349</v>
      </c>
      <c r="D7" s="29" t="s">
        <v>320</v>
      </c>
      <c r="E7" s="29" t="s">
        <v>160</v>
      </c>
      <c r="F7" s="29" t="s">
        <v>321</v>
      </c>
      <c r="G7" s="29" t="s">
        <v>274</v>
      </c>
      <c r="H7" s="29" t="s">
        <v>322</v>
      </c>
      <c r="I7" s="29" t="s">
        <v>323</v>
      </c>
      <c r="K7" s="29" t="s">
        <v>173</v>
      </c>
      <c r="L7" s="29" t="s">
        <v>324</v>
      </c>
      <c r="M7" s="29" t="s">
        <v>324</v>
      </c>
      <c r="N7" s="29">
        <v>42551</v>
      </c>
      <c r="O7" s="29" t="s">
        <v>242</v>
      </c>
      <c r="P7" s="29" t="s">
        <v>350</v>
      </c>
      <c r="Q7" s="29" t="s">
        <v>351</v>
      </c>
      <c r="R7" s="29" t="s">
        <v>326</v>
      </c>
      <c r="S7" s="29" t="s">
        <v>79</v>
      </c>
      <c r="T7" s="29">
        <v>49460</v>
      </c>
      <c r="U7" s="29" t="s">
        <v>328</v>
      </c>
      <c r="V7" s="29" t="s">
        <v>329</v>
      </c>
      <c r="X7" s="29">
        <v>900</v>
      </c>
      <c r="Y7" s="29">
        <v>1600</v>
      </c>
      <c r="Z7" s="29">
        <v>0</v>
      </c>
      <c r="AA7" s="29">
        <v>0</v>
      </c>
      <c r="AB7" s="29">
        <v>0</v>
      </c>
      <c r="AC7" s="29">
        <v>0</v>
      </c>
      <c r="AD7" s="29" t="s">
        <v>330</v>
      </c>
      <c r="AE7" s="29" t="s">
        <v>330</v>
      </c>
      <c r="AF7" s="29">
        <v>11</v>
      </c>
      <c r="AG7" s="29" t="s">
        <v>331</v>
      </c>
    </row>
    <row r="8" spans="1:33" s="29" customFormat="1" x14ac:dyDescent="0.35">
      <c r="A8" s="28">
        <v>10000001919486</v>
      </c>
      <c r="B8" s="28"/>
      <c r="C8" s="29" t="s">
        <v>352</v>
      </c>
      <c r="D8" s="29" t="s">
        <v>320</v>
      </c>
      <c r="E8" s="29" t="s">
        <v>160</v>
      </c>
      <c r="F8" s="29" t="s">
        <v>321</v>
      </c>
      <c r="G8" s="29" t="s">
        <v>274</v>
      </c>
      <c r="H8" s="29" t="s">
        <v>322</v>
      </c>
      <c r="I8" s="29" t="s">
        <v>353</v>
      </c>
      <c r="K8" s="29" t="s">
        <v>173</v>
      </c>
      <c r="L8" s="29" t="s">
        <v>324</v>
      </c>
      <c r="M8" s="29" t="s">
        <v>324</v>
      </c>
      <c r="N8" s="29">
        <v>42551</v>
      </c>
      <c r="O8" s="29" t="s">
        <v>242</v>
      </c>
      <c r="P8" s="29" t="s">
        <v>350</v>
      </c>
      <c r="Q8" s="29" t="s">
        <v>351</v>
      </c>
      <c r="R8" s="29" t="s">
        <v>326</v>
      </c>
      <c r="S8" s="29" t="s">
        <v>79</v>
      </c>
      <c r="T8" s="29">
        <v>49460</v>
      </c>
      <c r="U8" s="29" t="s">
        <v>328</v>
      </c>
      <c r="V8" s="29" t="s">
        <v>329</v>
      </c>
      <c r="X8" s="29">
        <v>900</v>
      </c>
      <c r="Y8" s="29">
        <v>1600</v>
      </c>
      <c r="Z8" s="29">
        <v>0</v>
      </c>
      <c r="AA8" s="29">
        <v>0</v>
      </c>
      <c r="AB8" s="29">
        <v>0</v>
      </c>
      <c r="AC8" s="29">
        <v>0</v>
      </c>
      <c r="AD8" s="29" t="s">
        <v>330</v>
      </c>
      <c r="AE8" s="29" t="s">
        <v>330</v>
      </c>
      <c r="AF8" s="29">
        <v>11</v>
      </c>
      <c r="AG8" s="29" t="s">
        <v>331</v>
      </c>
    </row>
    <row r="9" spans="1:33" s="29" customFormat="1" x14ac:dyDescent="0.35">
      <c r="A9" s="28">
        <v>10000001919486</v>
      </c>
      <c r="B9" s="28"/>
      <c r="C9" s="29" t="s">
        <v>354</v>
      </c>
      <c r="D9" s="29" t="s">
        <v>320</v>
      </c>
      <c r="E9" s="29" t="s">
        <v>160</v>
      </c>
      <c r="F9" s="29" t="s">
        <v>321</v>
      </c>
      <c r="G9" s="29" t="s">
        <v>274</v>
      </c>
      <c r="H9" s="29" t="s">
        <v>322</v>
      </c>
      <c r="I9" s="29" t="s">
        <v>323</v>
      </c>
      <c r="K9" s="29" t="s">
        <v>173</v>
      </c>
      <c r="L9" s="29" t="s">
        <v>324</v>
      </c>
      <c r="M9" s="29" t="s">
        <v>324</v>
      </c>
      <c r="N9" s="29">
        <v>42550</v>
      </c>
      <c r="O9" s="29" t="s">
        <v>242</v>
      </c>
      <c r="P9" s="29" t="s">
        <v>350</v>
      </c>
      <c r="Q9" s="29" t="s">
        <v>351</v>
      </c>
      <c r="R9" s="29" t="s">
        <v>326</v>
      </c>
      <c r="S9" s="29" t="s">
        <v>79</v>
      </c>
      <c r="T9" s="29">
        <v>49460</v>
      </c>
      <c r="U9" s="29" t="s">
        <v>328</v>
      </c>
      <c r="V9" s="29" t="s">
        <v>329</v>
      </c>
      <c r="X9" s="29">
        <v>900</v>
      </c>
      <c r="Y9" s="29">
        <v>1600</v>
      </c>
      <c r="Z9" s="29">
        <v>0</v>
      </c>
      <c r="AA9" s="29">
        <v>0</v>
      </c>
      <c r="AB9" s="29">
        <v>0</v>
      </c>
      <c r="AC9" s="29">
        <v>0</v>
      </c>
      <c r="AD9" s="29" t="s">
        <v>330</v>
      </c>
      <c r="AE9" s="29" t="s">
        <v>330</v>
      </c>
      <c r="AF9" s="29">
        <v>11</v>
      </c>
      <c r="AG9" s="29" t="s">
        <v>331</v>
      </c>
    </row>
    <row r="10" spans="1:33" s="29" customFormat="1" x14ac:dyDescent="0.35">
      <c r="A10" s="28">
        <v>10000001919486</v>
      </c>
      <c r="B10" s="28"/>
      <c r="C10" s="29" t="s">
        <v>355</v>
      </c>
      <c r="D10" s="29" t="s">
        <v>320</v>
      </c>
      <c r="E10" s="29" t="s">
        <v>160</v>
      </c>
      <c r="F10" s="29" t="s">
        <v>321</v>
      </c>
      <c r="G10" s="29" t="s">
        <v>274</v>
      </c>
      <c r="H10" s="29" t="s">
        <v>322</v>
      </c>
      <c r="I10" s="29" t="s">
        <v>323</v>
      </c>
      <c r="K10" s="29" t="s">
        <v>173</v>
      </c>
      <c r="L10" s="29" t="s">
        <v>324</v>
      </c>
      <c r="M10" s="29" t="s">
        <v>324</v>
      </c>
      <c r="N10" s="29">
        <v>42551</v>
      </c>
      <c r="O10" s="29" t="s">
        <v>242</v>
      </c>
      <c r="P10" s="29" t="s">
        <v>350</v>
      </c>
      <c r="Q10" s="29" t="s">
        <v>351</v>
      </c>
      <c r="R10" s="29" t="s">
        <v>326</v>
      </c>
      <c r="S10" s="29" t="s">
        <v>79</v>
      </c>
      <c r="T10" s="29">
        <v>49460</v>
      </c>
      <c r="U10" s="29" t="s">
        <v>328</v>
      </c>
      <c r="V10" s="29" t="s">
        <v>329</v>
      </c>
      <c r="X10" s="29">
        <v>900</v>
      </c>
      <c r="Y10" s="29">
        <v>1600</v>
      </c>
      <c r="Z10" s="29">
        <v>0</v>
      </c>
      <c r="AA10" s="29">
        <v>0</v>
      </c>
      <c r="AB10" s="29">
        <v>0</v>
      </c>
      <c r="AC10" s="29">
        <v>0</v>
      </c>
      <c r="AD10" s="29" t="s">
        <v>330</v>
      </c>
      <c r="AE10" s="29" t="s">
        <v>330</v>
      </c>
      <c r="AF10" s="29">
        <v>11</v>
      </c>
      <c r="AG10" s="29" t="s">
        <v>331</v>
      </c>
    </row>
    <row r="11" spans="1:33" x14ac:dyDescent="0.35">
      <c r="A11" s="27">
        <v>10000002026397</v>
      </c>
      <c r="C11" t="s">
        <v>356</v>
      </c>
      <c r="D11" t="s">
        <v>320</v>
      </c>
      <c r="E11" t="s">
        <v>166</v>
      </c>
      <c r="F11" t="s">
        <v>321</v>
      </c>
      <c r="G11" t="s">
        <v>274</v>
      </c>
      <c r="H11" t="s">
        <v>322</v>
      </c>
      <c r="I11" t="s">
        <v>323</v>
      </c>
      <c r="K11" t="s">
        <v>199</v>
      </c>
      <c r="L11" t="s">
        <v>324</v>
      </c>
      <c r="M11" t="s">
        <v>324</v>
      </c>
      <c r="N11">
        <v>42626</v>
      </c>
      <c r="O11" t="s">
        <v>268</v>
      </c>
      <c r="P11" t="s">
        <v>357</v>
      </c>
      <c r="Q11" t="s">
        <v>358</v>
      </c>
      <c r="R11" t="s">
        <v>326</v>
      </c>
      <c r="S11" t="s">
        <v>87</v>
      </c>
      <c r="T11">
        <v>77535</v>
      </c>
      <c r="U11" t="s">
        <v>328</v>
      </c>
      <c r="V11" t="s">
        <v>329</v>
      </c>
      <c r="X11">
        <v>700</v>
      </c>
      <c r="Y11">
        <v>2300</v>
      </c>
      <c r="Z11">
        <v>700</v>
      </c>
      <c r="AA11">
        <v>2300</v>
      </c>
      <c r="AB11">
        <v>700</v>
      </c>
      <c r="AC11">
        <v>2300</v>
      </c>
      <c r="AD11">
        <v>45703</v>
      </c>
      <c r="AE11" t="s">
        <v>330</v>
      </c>
      <c r="AF11">
        <v>11</v>
      </c>
      <c r="AG11" t="s">
        <v>331</v>
      </c>
    </row>
    <row r="12" spans="1:33" x14ac:dyDescent="0.35">
      <c r="A12" s="27">
        <v>10000002026397</v>
      </c>
      <c r="C12" t="s">
        <v>359</v>
      </c>
      <c r="D12" t="s">
        <v>320</v>
      </c>
      <c r="E12" t="s">
        <v>166</v>
      </c>
      <c r="F12" t="s">
        <v>321</v>
      </c>
      <c r="G12" t="s">
        <v>274</v>
      </c>
      <c r="H12" t="s">
        <v>322</v>
      </c>
      <c r="I12" t="s">
        <v>323</v>
      </c>
      <c r="K12" t="s">
        <v>199</v>
      </c>
      <c r="L12" t="s">
        <v>324</v>
      </c>
      <c r="M12" t="s">
        <v>324</v>
      </c>
      <c r="N12">
        <v>42626</v>
      </c>
      <c r="O12" t="s">
        <v>268</v>
      </c>
      <c r="P12" t="s">
        <v>357</v>
      </c>
      <c r="Q12" t="s">
        <v>358</v>
      </c>
      <c r="R12" t="s">
        <v>326</v>
      </c>
      <c r="S12" t="s">
        <v>87</v>
      </c>
      <c r="T12">
        <v>77535</v>
      </c>
      <c r="U12" t="s">
        <v>328</v>
      </c>
      <c r="V12" t="s">
        <v>329</v>
      </c>
      <c r="X12">
        <v>700</v>
      </c>
      <c r="Y12">
        <v>2300</v>
      </c>
      <c r="Z12">
        <v>700</v>
      </c>
      <c r="AA12">
        <v>2300</v>
      </c>
      <c r="AB12">
        <v>700</v>
      </c>
      <c r="AC12">
        <v>2300</v>
      </c>
      <c r="AD12">
        <v>45713</v>
      </c>
      <c r="AE12" t="s">
        <v>330</v>
      </c>
      <c r="AF12">
        <v>11</v>
      </c>
      <c r="AG12" t="s">
        <v>331</v>
      </c>
    </row>
    <row r="13" spans="1:33" x14ac:dyDescent="0.35">
      <c r="A13" s="27">
        <v>10000002026397</v>
      </c>
      <c r="C13" t="s">
        <v>360</v>
      </c>
      <c r="D13" t="s">
        <v>320</v>
      </c>
      <c r="E13" t="s">
        <v>166</v>
      </c>
      <c r="F13" t="s">
        <v>321</v>
      </c>
      <c r="G13" t="s">
        <v>274</v>
      </c>
      <c r="H13" t="s">
        <v>322</v>
      </c>
      <c r="I13" t="s">
        <v>323</v>
      </c>
      <c r="K13" t="s">
        <v>199</v>
      </c>
      <c r="L13" t="s">
        <v>324</v>
      </c>
      <c r="M13" t="s">
        <v>324</v>
      </c>
      <c r="N13">
        <v>42626</v>
      </c>
      <c r="O13" t="s">
        <v>268</v>
      </c>
      <c r="P13" t="s">
        <v>357</v>
      </c>
      <c r="Q13" t="s">
        <v>358</v>
      </c>
      <c r="R13" t="s">
        <v>326</v>
      </c>
      <c r="S13" t="s">
        <v>87</v>
      </c>
      <c r="T13">
        <v>77535</v>
      </c>
      <c r="U13" t="s">
        <v>328</v>
      </c>
      <c r="V13" t="s">
        <v>329</v>
      </c>
      <c r="X13">
        <v>700</v>
      </c>
      <c r="Y13">
        <v>2300</v>
      </c>
      <c r="Z13">
        <v>700</v>
      </c>
      <c r="AA13">
        <v>2300</v>
      </c>
      <c r="AB13">
        <v>700</v>
      </c>
      <c r="AC13">
        <v>2300</v>
      </c>
      <c r="AD13">
        <v>45707</v>
      </c>
      <c r="AE13" t="s">
        <v>330</v>
      </c>
      <c r="AF13">
        <v>11</v>
      </c>
      <c r="AG13" t="s">
        <v>331</v>
      </c>
    </row>
    <row r="14" spans="1:33" x14ac:dyDescent="0.35">
      <c r="A14" s="27">
        <v>10000002565215</v>
      </c>
      <c r="C14" t="s">
        <v>361</v>
      </c>
      <c r="D14" t="s">
        <v>320</v>
      </c>
      <c r="E14" t="s">
        <v>160</v>
      </c>
      <c r="F14" t="s">
        <v>321</v>
      </c>
      <c r="G14" t="s">
        <v>274</v>
      </c>
      <c r="H14" t="s">
        <v>322</v>
      </c>
      <c r="I14" t="s">
        <v>353</v>
      </c>
      <c r="K14" t="s">
        <v>181</v>
      </c>
      <c r="L14" t="s">
        <v>324</v>
      </c>
      <c r="M14" t="s">
        <v>324</v>
      </c>
      <c r="N14">
        <v>44161</v>
      </c>
      <c r="O14" t="s">
        <v>250</v>
      </c>
      <c r="P14" t="s">
        <v>350</v>
      </c>
      <c r="Q14" t="s">
        <v>362</v>
      </c>
      <c r="R14" t="s">
        <v>326</v>
      </c>
      <c r="S14" t="s">
        <v>84</v>
      </c>
      <c r="T14">
        <v>70250</v>
      </c>
      <c r="U14" t="s">
        <v>328</v>
      </c>
      <c r="V14" t="s">
        <v>329</v>
      </c>
      <c r="X14">
        <v>900</v>
      </c>
      <c r="Y14">
        <v>1600</v>
      </c>
      <c r="Z14">
        <v>0</v>
      </c>
      <c r="AA14">
        <v>0</v>
      </c>
      <c r="AB14">
        <v>0</v>
      </c>
      <c r="AC14">
        <v>0</v>
      </c>
      <c r="AD14" t="s">
        <v>330</v>
      </c>
      <c r="AE14" t="s">
        <v>330</v>
      </c>
      <c r="AF14">
        <v>91</v>
      </c>
      <c r="AG14" t="s">
        <v>331</v>
      </c>
    </row>
    <row r="18" spans="5:7" x14ac:dyDescent="0.35">
      <c r="E18" s="30"/>
      <c r="G18" s="30"/>
    </row>
  </sheetData>
  <autoFilter ref="A1:AG14" xr:uid="{0E4F3999-498F-45C1-889E-424B0806D7A7}">
    <sortState xmlns:xlrd2="http://schemas.microsoft.com/office/spreadsheetml/2017/richdata2" ref="A2:AG14">
      <sortCondition ref="A1:A14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69B0C-961B-460D-849A-DB53F4D5FFBB}">
  <dimension ref="A1:B15"/>
  <sheetViews>
    <sheetView workbookViewId="0">
      <selection activeCell="A2" sqref="A2:XFD2"/>
    </sheetView>
  </sheetViews>
  <sheetFormatPr defaultRowHeight="14.5" x14ac:dyDescent="0.35"/>
  <cols>
    <col min="1" max="1" width="11.453125" bestFit="1" customWidth="1"/>
    <col min="2" max="2" width="15.6328125" bestFit="1" customWidth="1"/>
  </cols>
  <sheetData>
    <row r="1" spans="1:2" x14ac:dyDescent="0.35">
      <c r="A1" s="13" t="s">
        <v>97</v>
      </c>
      <c r="B1" s="12" t="s">
        <v>98</v>
      </c>
    </row>
    <row r="2" spans="1:2" x14ac:dyDescent="0.35">
      <c r="A2" s="14" t="s">
        <v>43</v>
      </c>
      <c r="B2" s="8" t="s">
        <v>45</v>
      </c>
    </row>
    <row r="3" spans="1:2" x14ac:dyDescent="0.35">
      <c r="A3" s="14" t="s">
        <v>46</v>
      </c>
      <c r="B3" s="8" t="s">
        <v>43</v>
      </c>
    </row>
    <row r="4" spans="1:2" x14ac:dyDescent="0.35">
      <c r="A4" s="14" t="s">
        <v>47</v>
      </c>
      <c r="B4" s="8" t="s">
        <v>46</v>
      </c>
    </row>
    <row r="5" spans="1:2" x14ac:dyDescent="0.35">
      <c r="A5" s="14" t="s">
        <v>17</v>
      </c>
      <c r="B5" s="8" t="s">
        <v>47</v>
      </c>
    </row>
    <row r="6" spans="1:2" x14ac:dyDescent="0.35">
      <c r="A6" s="14" t="s">
        <v>18</v>
      </c>
      <c r="B6" s="8" t="s">
        <v>17</v>
      </c>
    </row>
    <row r="7" spans="1:2" x14ac:dyDescent="0.35">
      <c r="A7" s="14" t="s">
        <v>19</v>
      </c>
      <c r="B7" s="8" t="s">
        <v>18</v>
      </c>
    </row>
    <row r="8" spans="1:2" x14ac:dyDescent="0.35">
      <c r="A8" s="14" t="s">
        <v>56</v>
      </c>
      <c r="B8" s="8" t="s">
        <v>19</v>
      </c>
    </row>
    <row r="9" spans="1:2" x14ac:dyDescent="0.35">
      <c r="A9" s="14" t="s">
        <v>20</v>
      </c>
      <c r="B9" s="8" t="s">
        <v>56</v>
      </c>
    </row>
    <row r="10" spans="1:2" x14ac:dyDescent="0.35">
      <c r="A10" s="14" t="s">
        <v>61</v>
      </c>
      <c r="B10" s="8" t="s">
        <v>20</v>
      </c>
    </row>
    <row r="11" spans="1:2" x14ac:dyDescent="0.35">
      <c r="A11" s="14" t="s">
        <v>64</v>
      </c>
      <c r="B11" s="8" t="s">
        <v>61</v>
      </c>
    </row>
    <row r="12" spans="1:2" x14ac:dyDescent="0.35">
      <c r="A12" s="14" t="s">
        <v>67</v>
      </c>
      <c r="B12" s="8" t="s">
        <v>64</v>
      </c>
    </row>
    <row r="13" spans="1:2" x14ac:dyDescent="0.35">
      <c r="A13" s="14" t="s">
        <v>21</v>
      </c>
      <c r="B13" s="8" t="s">
        <v>99</v>
      </c>
    </row>
    <row r="14" spans="1:2" x14ac:dyDescent="0.35">
      <c r="A14" s="14" t="s">
        <v>70</v>
      </c>
      <c r="B14" s="8" t="s">
        <v>67</v>
      </c>
    </row>
    <row r="15" spans="1:2" x14ac:dyDescent="0.35">
      <c r="A15" s="11" t="s">
        <v>72</v>
      </c>
      <c r="B15" s="7" t="s">
        <v>70</v>
      </c>
    </row>
  </sheetData>
  <pageMargins left="0.7" right="0.7" top="0.75" bottom="0.75" header="0.3" footer="0.3"/>
  <pageSetup orientation="portrait" r:id="rId1"/>
  <headerFooter>
    <oddFooter xml:space="preserve">&amp;L_x000D_&amp;1#&amp;"Calibri"&amp;10&amp;K000000 Classification: Western Union Unrestricted Internal 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GPRPS xmlns="392164ca-44c5-477c-8d24-9a47e5307fc5" xsi:nil="true"/>
    <COMPANY_NAME_V1 xmlns="392164ca-44c5-477c-8d24-9a47e5307fc5" xsi:nil="true"/>
    <DISPOSITION_VALUE xmlns="392164ca-44c5-477c-8d24-9a47e5307fc5" xsi:nil="true"/>
    <INSERT_UPDATE_DT xmlns="392164ca-44c5-477c-8d24-9a47e5307fc5" xsi:nil="true"/>
    <LIFE_CYCLE_EVENT_NAME xmlns="392164ca-44c5-477c-8d24-9a47e5307fc5" xsi:nil="true"/>
    <TaxCatchAll xmlns="c971d920-434f-478e-9963-cd0a8fa1272d" xsi:nil="true"/>
    <RESTRICTED_INDUSTRIES xmlns="392164ca-44c5-477c-8d24-9a47e5307fc5" xsi:nil="true"/>
    <CASEREFNO xmlns="392164ca-44c5-477c-8d24-9a47e5307fc5" xsi:nil="true"/>
    <DBA_TRADE_NAMES_ALIAS_V1 xmlns="392164ca-44c5-477c-8d24-9a47e5307fc5" xsi:nil="true"/>
    <TypeofQueries xmlns="392164ca-44c5-477c-8d24-9a47e5307fc5" xsi:nil="true"/>
    <lcf76f155ced4ddcb4097134ff3c332f xmlns="392164ca-44c5-477c-8d24-9a47e5307fc5">
      <Terms xmlns="http://schemas.microsoft.com/office/infopath/2007/PartnerControls"/>
    </lcf76f155ced4ddcb4097134ff3c332f>
    <ADDRESS xmlns="392164ca-44c5-477c-8d24-9a47e5307fc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CB0B27A225A74B9B46206BE9456632" ma:contentTypeVersion="27" ma:contentTypeDescription="Create a new document." ma:contentTypeScope="" ma:versionID="67ed1c4885b4ad0a46108375b1f90446">
  <xsd:schema xmlns:xsd="http://www.w3.org/2001/XMLSchema" xmlns:xs="http://www.w3.org/2001/XMLSchema" xmlns:p="http://schemas.microsoft.com/office/2006/metadata/properties" xmlns:ns2="392164ca-44c5-477c-8d24-9a47e5307fc5" xmlns:ns3="c971d920-434f-478e-9963-cd0a8fa1272d" targetNamespace="http://schemas.microsoft.com/office/2006/metadata/properties" ma:root="true" ma:fieldsID="bcd58b55f9de1837bff6dfee8b9619f2" ns2:_="" ns3:_="">
    <xsd:import namespace="392164ca-44c5-477c-8d24-9a47e5307fc5"/>
    <xsd:import namespace="c971d920-434f-478e-9963-cd0a8fa127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TypeofQueries" minOccurs="0"/>
                <xsd:element ref="ns2:ADDRESS" minOccurs="0"/>
                <xsd:element ref="ns2:INSERT_UPDATE_DT" minOccurs="0"/>
                <xsd:element ref="ns2:DBA_TRADE_NAMES_ALIAS_V1" minOccurs="0"/>
                <xsd:element ref="ns2:COMPANY_NAME_V1" minOccurs="0"/>
                <xsd:element ref="ns2:RESTRICTED_INDUSTRIES" minOccurs="0"/>
                <xsd:element ref="ns2:DISPOSITION_VALUE" minOccurs="0"/>
                <xsd:element ref="ns2:CASEREFNO" minOccurs="0"/>
                <xsd:element ref="ns2:TRGPRPS" minOccurs="0"/>
                <xsd:element ref="ns2:LIFE_CYCLE_EVENT_NA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164ca-44c5-477c-8d24-9a47e5307f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dd3b0b0-5841-46b4-a2c3-e93440383d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ypeofQueries" ma:index="23" nillable="true" ma:displayName="Description" ma:format="Dropdown" ma:internalName="TypeofQueries">
      <xsd:simpleType>
        <xsd:restriction base="dms:Text">
          <xsd:maxLength value="255"/>
        </xsd:restriction>
      </xsd:simpleType>
    </xsd:element>
    <xsd:element name="ADDRESS" ma:index="24" nillable="true" ma:displayName="ADDRESS" ma:format="Dropdown" ma:internalName="ADDRESS">
      <xsd:simpleType>
        <xsd:restriction base="dms:Text">
          <xsd:maxLength value="255"/>
        </xsd:restriction>
      </xsd:simpleType>
    </xsd:element>
    <xsd:element name="INSERT_UPDATE_DT" ma:index="25" nillable="true" ma:displayName="INSERT_UPDATE_DT" ma:format="DateOnly" ma:internalName="INSERT_UPDATE_DT">
      <xsd:simpleType>
        <xsd:restriction base="dms:DateTime"/>
      </xsd:simpleType>
    </xsd:element>
    <xsd:element name="DBA_TRADE_NAMES_ALIAS_V1" ma:index="26" nillable="true" ma:displayName="DBA_TRADE_NAMES_ALIAS_V1" ma:format="Dropdown" ma:internalName="DBA_TRADE_NAMES_ALIAS_V1">
      <xsd:simpleType>
        <xsd:restriction base="dms:Text">
          <xsd:maxLength value="255"/>
        </xsd:restriction>
      </xsd:simpleType>
    </xsd:element>
    <xsd:element name="COMPANY_NAME_V1" ma:index="27" nillable="true" ma:displayName="COMPANY_NAME_V1" ma:format="Dropdown" ma:internalName="COMPANY_NAME_V1">
      <xsd:simpleType>
        <xsd:restriction base="dms:Text">
          <xsd:maxLength value="255"/>
        </xsd:restriction>
      </xsd:simpleType>
    </xsd:element>
    <xsd:element name="RESTRICTED_INDUSTRIES" ma:index="28" nillable="true" ma:displayName="RESTRICTED_INDUSTRIES" ma:format="Dropdown" ma:internalName="RESTRICTED_INDUSTRIES">
      <xsd:simpleType>
        <xsd:restriction base="dms:Text">
          <xsd:maxLength value="255"/>
        </xsd:restriction>
      </xsd:simpleType>
    </xsd:element>
    <xsd:element name="DISPOSITION_VALUE" ma:index="29" nillable="true" ma:displayName="DISPOSITION_VALUE" ma:format="Dropdown" ma:internalName="DISPOSITION_VALUE">
      <xsd:simpleType>
        <xsd:restriction base="dms:Text">
          <xsd:maxLength value="255"/>
        </xsd:restriction>
      </xsd:simpleType>
    </xsd:element>
    <xsd:element name="CASEREFNO" ma:index="30" nillable="true" ma:displayName="CASEREFNO" ma:format="Dropdown" ma:internalName="CASEREFNO">
      <xsd:simpleType>
        <xsd:restriction base="dms:Text">
          <xsd:maxLength value="255"/>
        </xsd:restriction>
      </xsd:simpleType>
    </xsd:element>
    <xsd:element name="TRGPRPS" ma:index="31" nillable="true" ma:displayName="TRGPRPS" ma:format="Dropdown" ma:internalName="TRGPRPS">
      <xsd:simpleType>
        <xsd:restriction base="dms:Text">
          <xsd:maxLength value="255"/>
        </xsd:restriction>
      </xsd:simpleType>
    </xsd:element>
    <xsd:element name="LIFE_CYCLE_EVENT_NAME" ma:index="32" nillable="true" ma:displayName="LIFE_CYCLE_EVENT_NAME" ma:format="Dropdown" ma:internalName="LIFE_CYCLE_EVENT_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71d920-434f-478e-9963-cd0a8fa1272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1b75c5b-e8af-40af-8476-bf844361d40e}" ma:internalName="TaxCatchAll" ma:showField="CatchAllData" ma:web="c971d920-434f-478e-9963-cd0a8fa127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895B04-EBB4-4425-AB84-E70185B41685}">
  <ds:schemaRefs>
    <ds:schemaRef ds:uri="http://schemas.microsoft.com/office/2006/metadata/properties"/>
    <ds:schemaRef ds:uri="http://schemas.microsoft.com/office/infopath/2007/PartnerControls"/>
    <ds:schemaRef ds:uri="392164ca-44c5-477c-8d24-9a47e5307fc5"/>
    <ds:schemaRef ds:uri="c971d920-434f-478e-9963-cd0a8fa1272d"/>
  </ds:schemaRefs>
</ds:datastoreItem>
</file>

<file path=customXml/itemProps2.xml><?xml version="1.0" encoding="utf-8"?>
<ds:datastoreItem xmlns:ds="http://schemas.openxmlformats.org/officeDocument/2006/customXml" ds:itemID="{C432F9AE-56D0-499C-BDD3-701A4F03C1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2164ca-44c5-477c-8d24-9a47e5307fc5"/>
    <ds:schemaRef ds:uri="c971d920-434f-478e-9963-cd0a8fa127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841002-5842-4D0A-B02B-14B8365B0D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Agenda MX Q1 2026</vt:lpstr>
      <vt:lpstr>Sheet1</vt:lpstr>
      <vt:lpstr>List</vt:lpstr>
      <vt:lpstr>DELETED</vt:lpstr>
      <vt:lpstr>WUCOs Time Zone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Alberto Olivares Bernal</dc:creator>
  <cp:keywords/>
  <dc:description/>
  <cp:lastModifiedBy>Ronald Andres Ruiz Gomez</cp:lastModifiedBy>
  <cp:revision/>
  <dcterms:created xsi:type="dcterms:W3CDTF">2020-11-23T19:02:02Z</dcterms:created>
  <dcterms:modified xsi:type="dcterms:W3CDTF">2026-07-13T17:18:32Z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55deb97b-b7cb-409a-b8dc-906a5a20cd43</vt:lpwstr>
  </property>
  <property fmtid="{D5CDD505-2E9C-101B-9397-08002B2CF9AE}" pid="3" name="Classified By">
    <vt:lpwstr>Ronald Isaac Cordero</vt:lpwstr>
  </property>
  <property fmtid="{D5CDD505-2E9C-101B-9397-08002B2CF9AE}" pid="4" name="Date and Time">
    <vt:lpwstr>3/3/2022 9:22 AM</vt:lpwstr>
  </property>
  <property fmtid="{D5CDD505-2E9C-101B-9397-08002B2CF9AE}" pid="5" name="SV_QUERY_LIST_4F35BF76-6C0D-4D9B-82B2-816C12CF3733">
    <vt:lpwstr>empty_477D106A-C0D6-4607-AEBD-E2C9D60EA279</vt:lpwstr>
  </property>
  <property fmtid="{D5CDD505-2E9C-101B-9397-08002B2CF9AE}" pid="6" name="SV_HIDDEN_GRID_QUERY_LIST_4F35BF76-6C0D-4D9B-82B2-816C12CF3733">
    <vt:lpwstr>empty_477D106A-C0D6-4607-AEBD-E2C9D60EA279</vt:lpwstr>
  </property>
  <property fmtid="{D5CDD505-2E9C-101B-9397-08002B2CF9AE}" pid="7" name="WUClass">
    <vt:lpwstr>CL2</vt:lpwstr>
  </property>
  <property fmtid="{D5CDD505-2E9C-101B-9397-08002B2CF9AE}" pid="8" name="Footer">
    <vt:lpwstr>N</vt:lpwstr>
  </property>
  <property fmtid="{D5CDD505-2E9C-101B-9397-08002B2CF9AE}" pid="9" name="MSIP_Label_59f1515f-ae52-4b62-8ae2-5819636ba48f_Enabled">
    <vt:lpwstr>true</vt:lpwstr>
  </property>
  <property fmtid="{D5CDD505-2E9C-101B-9397-08002B2CF9AE}" pid="10" name="MSIP_Label_59f1515f-ae52-4b62-8ae2-5819636ba48f_SetDate">
    <vt:lpwstr>2023-06-02T19:28:28Z</vt:lpwstr>
  </property>
  <property fmtid="{D5CDD505-2E9C-101B-9397-08002B2CF9AE}" pid="11" name="MSIP_Label_59f1515f-ae52-4b62-8ae2-5819636ba48f_Method">
    <vt:lpwstr>Privileged</vt:lpwstr>
  </property>
  <property fmtid="{D5CDD505-2E9C-101B-9397-08002B2CF9AE}" pid="12" name="MSIP_Label_59f1515f-ae52-4b62-8ae2-5819636ba48f_Name">
    <vt:lpwstr>Unrestricted Internal</vt:lpwstr>
  </property>
  <property fmtid="{D5CDD505-2E9C-101B-9397-08002B2CF9AE}" pid="13" name="MSIP_Label_59f1515f-ae52-4b62-8ae2-5819636ba48f_SiteId">
    <vt:lpwstr>ce3a67f2-5a22-4fb8-a511-815f8924cda6</vt:lpwstr>
  </property>
  <property fmtid="{D5CDD505-2E9C-101B-9397-08002B2CF9AE}" pid="14" name="MSIP_Label_59f1515f-ae52-4b62-8ae2-5819636ba48f_ActionId">
    <vt:lpwstr>f2137ffd-5792-4302-bb4c-8f4c0668789f</vt:lpwstr>
  </property>
  <property fmtid="{D5CDD505-2E9C-101B-9397-08002B2CF9AE}" pid="15" name="MSIP_Label_59f1515f-ae52-4b62-8ae2-5819636ba48f_ContentBits">
    <vt:lpwstr>2</vt:lpwstr>
  </property>
  <property fmtid="{D5CDD505-2E9C-101B-9397-08002B2CF9AE}" pid="16" name="ContentTypeId">
    <vt:lpwstr>0x01010053CB0B27A225A74B9B46206BE9456632</vt:lpwstr>
  </property>
  <property fmtid="{D5CDD505-2E9C-101B-9397-08002B2CF9AE}" pid="17" name="MediaServiceImageTags">
    <vt:lpwstr/>
  </property>
</Properties>
</file>