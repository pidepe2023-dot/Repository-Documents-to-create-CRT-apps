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_rels/sheet7.xml.rels" ContentType="application/vnd.openxmlformats-package.relationships+xml"/>
  <Override PartName="/xl/worksheets/_rels/sheet6.xml.rels" ContentType="application/vnd.openxmlformats-package.relationships+xml"/>
  <Override PartName="/xl/worksheets/_rels/sheet4.xml.rels" ContentType="application/vnd.openxmlformats-package.relationships+xml"/>
  <Override PartName="/xl/worksheets/_rels/sheet3.xml.rels" ContentType="application/vnd.openxmlformats-package.relationships+xml"/>
  <Override PartName="/xl/worksheets/_rels/sheet1.xml.rels" ContentType="application/vnd.openxmlformats-package.relationships+xml"/>
  <Override PartName="/xl/worksheets/sheet8.xml" ContentType="application/vnd.openxmlformats-officedocument.spreadsheetml.worksheet+xml"/>
  <Override PartName="/xl/sharedStrings.xml" ContentType="application/vnd.openxmlformats-officedocument.spreadsheetml.sharedStrings+xml"/>
  <Override PartName="/xl/ctrlProps/ctrlProps2.xml" ContentType="application/vnd.ms-excel.controlproperties+xml"/>
  <Override PartName="/xl/ctrlProps/ctrlProps6.xml" ContentType="application/vnd.ms-excel.controlproperties+xml"/>
  <Override PartName="/xl/drawings/drawing1.xml" ContentType="application/vnd.openxmlformats-officedocument.drawing+xml"/>
  <Override PartName="/xl/drawings/vmlDrawing1.vml" ContentType="application/vnd.openxmlformats-officedocument.vmlDrawing"/>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vmlDrawing2.vml" ContentType="application/vnd.openxmlformats-officedocument.vmlDrawing"/>
  <Override PartName="/xl/tables/table1.xml" ContentType="application/vnd.openxmlformats-officedocument.spreadsheetml.table+xml"/>
  <Override PartName="/xl/tables/table2.xml" ContentType="application/vnd.openxmlformats-officedocument.spreadsheetml.table+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6"/>
  </bookViews>
  <sheets>
    <sheet name="Non-SWB CaseList" sheetId="1" state="visible" r:id="rId4"/>
    <sheet name="Sheet1" sheetId="2" state="hidden" r:id="rId5"/>
    <sheet name="Non-SWB Lists" sheetId="3" state="hidden" r:id="rId6"/>
    <sheet name="SWB CaseList" sheetId="4" state="visible" r:id="rId7"/>
    <sheet name="SWB-Lists" sheetId="5" state="hidden" r:id="rId8"/>
    <sheet name="Raw Data" sheetId="6" state="visible" r:id="rId9"/>
    <sheet name="Sheet3" sheetId="7" state="visible" r:id="rId10"/>
    <sheet name="Sheet2" sheetId="8" state="hidden" r:id="rId11"/>
  </sheets>
  <definedNames>
    <definedName function="false" hidden="true" localSheetId="2" name="_xlnm._FilterDatabase" vbProcedure="false">'Non-SWB Lists'!$F$1:$G$117</definedName>
    <definedName function="false" hidden="true" localSheetId="5" name="_xlnm._FilterDatabase" vbProcedure="false">'Raw Data'!$A$1:$CQ$1</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<sst xmlns="http://schemas.openxmlformats.org/spreadsheetml/2006/main" count="1053" uniqueCount="375">
  <si>
    <t xml:space="preserve">NON-SOUTHWEST BORDER</t>
  </si>
  <si>
    <t xml:space="preserve">Case ID</t>
  </si>
  <si>
    <t xml:space="preserve">Interview Type</t>
  </si>
  <si>
    <t xml:space="preserve">Business Group</t>
  </si>
  <si>
    <t xml:space="preserve">Shop ID</t>
  </si>
  <si>
    <t xml:space="preserve">Subject Id</t>
  </si>
  <si>
    <t xml:space="preserve">Subject Type</t>
  </si>
  <si>
    <t xml:space="preserve">Subject Name</t>
  </si>
  <si>
    <t xml:space="preserve">Subject Address</t>
  </si>
  <si>
    <t xml:space="preserve">Subject City</t>
  </si>
  <si>
    <t xml:space="preserve">Subject State</t>
  </si>
  <si>
    <t xml:space="preserve">Subject Zip Code</t>
  </si>
  <si>
    <t xml:space="preserve">Subject Country</t>
  </si>
  <si>
    <t xml:space="preserve">Final Pass Fail</t>
  </si>
  <si>
    <t xml:space="preserve">Results of Mystery Shop</t>
  </si>
  <si>
    <t xml:space="preserve">Date of shop:</t>
  </si>
  <si>
    <t xml:space="preserve">Time shop started:</t>
  </si>
  <si>
    <t xml:space="preserve">Time shop ended:</t>
  </si>
  <si>
    <t xml:space="preserve">Time zone of location shopped:</t>
  </si>
  <si>
    <t xml:space="preserve">Scenario used:</t>
  </si>
  <si>
    <t xml:space="preserve">Have you ever been to this location before?</t>
  </si>
  <si>
    <t xml:space="preserve">If YES, did you conduct a transaction (either sending or receiving)?</t>
  </si>
  <si>
    <t xml:space="preserve">1.  Were there any customers ahead of you?</t>
  </si>
  <si>
    <t xml:space="preserve">1a.  If YES, please specify how many customers were ahead of you in line.</t>
  </si>
  <si>
    <t xml:space="preserve">2.  Name of the FLA who assisted you:</t>
  </si>
  <si>
    <t xml:space="preserve">2a.  Gender of FLA:</t>
  </si>
  <si>
    <t xml:space="preserve">2b.  Ethnicity of FLA:</t>
  </si>
  <si>
    <t xml:space="preserve">2c.  Additional description of the FLA:</t>
  </si>
  <si>
    <t xml:space="preserve">3.  When you asked if you could send a transaction without an ID, did the FLA guide you on how you could send a transaction in order to avoid the ID requirement?</t>
  </si>
  <si>
    <t xml:space="preserve">3a.  If YES, please specify what the FLA said.</t>
  </si>
  <si>
    <t xml:space="preserve">4. When you stated that you did not have an ID, please specify how the FLA responded.</t>
  </si>
  <si>
    <t xml:space="preserve">5. Did the FLA ask for assistance from anyone at the location while assisting you?</t>
  </si>
  <si>
    <t xml:space="preserve">5a.  If YES, please specify his/her name (and/or title):</t>
  </si>
  <si>
    <t xml:space="preserve">5b.  Gender of second FLA:</t>
  </si>
  <si>
    <t xml:space="preserve">5c.  Ethnicity of FLA:</t>
  </si>
  <si>
    <t xml:space="preserve">5d. Additional description of the FLA:</t>
  </si>
  <si>
    <t xml:space="preserve">6.  Please specify how the second FLA assisted.</t>
  </si>
  <si>
    <t xml:space="preserve">7.  Please detail your entire interaction here, from the time you enter the location to the time you left.</t>
  </si>
  <si>
    <t xml:space="preserve">8.  Did this location pass or fail?</t>
  </si>
  <si>
    <t xml:space="preserve">9.  Was the required state sign displayed at the location?</t>
  </si>
  <si>
    <t xml:space="preserve">9a.  If NO, please specify what was missing.</t>
  </si>
  <si>
    <t xml:space="preserve">10.  Were there any WU Marketing Materials in any language other than English and/or Spanish?</t>
  </si>
  <si>
    <t xml:space="preserve">10a.  If Yes, please specify what language was used.</t>
  </si>
  <si>
    <t xml:space="preserve">11. Were there any Agent created signs referencing additional fees beyond approved Western Union Fees?</t>
  </si>
  <si>
    <t xml:space="preserve">11a. If YES, please provide specific details of the sign, including what the sign said.</t>
  </si>
  <si>
    <t xml:space="preserve">State Check</t>
  </si>
  <si>
    <t xml:space="preserve">MYSTERY SHOP - NON SWB V1.0</t>
  </si>
  <si>
    <t xml:space="preserve">GFO</t>
  </si>
  <si>
    <t xml:space="preserve">Agent Location</t>
  </si>
  <si>
    <t xml:space="preserve">MYSTERY SHOP - NON SWB V1.1</t>
  </si>
  <si>
    <t xml:space="preserve">MYSTERY SHOP - NON SWB V1.2</t>
  </si>
  <si>
    <t xml:space="preserve">MYSTERY SHOP - NON SWB V1.3</t>
  </si>
  <si>
    <t xml:space="preserve">MYSTERY SHOP - NON SWB V1.4</t>
  </si>
  <si>
    <t xml:space="preserve">Remarks</t>
  </si>
  <si>
    <t xml:space="preserve">Mystery Shopping Result ID</t>
  </si>
  <si>
    <t xml:space="preserve">Business Group Id</t>
  </si>
  <si>
    <t xml:space="preserve">M250403113616351</t>
  </si>
  <si>
    <t xml:space="preserve">Case Added Successfully</t>
  </si>
  <si>
    <t xml:space="preserve">AgentLocation</t>
  </si>
  <si>
    <t xml:space="preserve">FICOHSA AGN MALL MULTIPLAZA TG</t>
  </si>
  <si>
    <t xml:space="preserve">CF MALL MULTIPLAZA COL LOMAS DEL MAYAB</t>
  </si>
  <si>
    <t xml:space="preserve">TEGUCIGALPA</t>
  </si>
  <si>
    <t xml:space="preserve">NA</t>
  </si>
  <si>
    <t xml:space="preserve">HONDURAS</t>
  </si>
  <si>
    <t xml:space="preserve">Pass</t>
  </si>
  <si>
    <t xml:space="preserve">Yes</t>
  </si>
  <si>
    <t xml:space="preserve">N/A</t>
  </si>
  <si>
    <t xml:space="preserve">Mariela</t>
  </si>
  <si>
    <t xml:space="preserve">Female</t>
  </si>
  <si>
    <t xml:space="preserve">Blue and white shirt, Caucasian, approximately 33 years old, 5'3" tall, dark brown long hair.</t>
  </si>
  <si>
    <t xml:space="preserve">My experience was positive because of the location, as it is accessible and in a safe area. Additionally, the place is spacious and clean.</t>
  </si>
  <si>
    <t xml:space="preserve">M250403113616353</t>
  </si>
  <si>
    <t xml:space="preserve">WM MC MXM ESCAZU</t>
  </si>
  <si>
    <t xml:space="preserve">DENTRO MASXMENOS CONTIGUO SCOTIABANK</t>
  </si>
  <si>
    <t xml:space="preserve">ESCAZU</t>
  </si>
  <si>
    <t xml:space="preserve">COSTA RICA</t>
  </si>
  <si>
    <t xml:space="preserve">No</t>
  </si>
  <si>
    <t xml:space="preserve">The Mas X Menos supermarket and Western Union services are not located at the given address.</t>
  </si>
  <si>
    <t xml:space="preserve">M250403113616354</t>
  </si>
  <si>
    <t xml:space="preserve">WM MC MXM SABANA</t>
  </si>
  <si>
    <t xml:space="preserve">DENTRO DE MXM FRENTE AL HOTEL COROBICI</t>
  </si>
  <si>
    <t xml:space="preserve">SABANA</t>
  </si>
  <si>
    <t xml:space="preserve">Unknown.</t>
  </si>
  <si>
    <t xml:space="preserve">Male</t>
  </si>
  <si>
    <t xml:space="preserve">M250403113616355</t>
  </si>
  <si>
    <t xml:space="preserve">6512 SUR LEON CENTRO  GTO</t>
  </si>
  <si>
    <t xml:space="preserve">DIAZ MIRON 104</t>
  </si>
  <si>
    <t xml:space="preserve">LEON</t>
  </si>
  <si>
    <t xml:space="preserve">Guanajuato</t>
  </si>
  <si>
    <t xml:space="preserve">MEXICO</t>
  </si>
  <si>
    <t xml:space="preserve">Pink blouse, black sweater, and denim pants. 40 years old, 5'4'' tall, blonde shoulder-length hair.</t>
  </si>
  <si>
    <t xml:space="preserve">My experience was neutral, as I was unable to present the scenario at the assigned venue.</t>
  </si>
  <si>
    <t xml:space="preserve">Posters, flyers, decals, other printed material</t>
  </si>
  <si>
    <t xml:space="preserve">M250403113616356</t>
  </si>
  <si>
    <t xml:space="preserve">OXXO TRINIDAD CUN</t>
  </si>
  <si>
    <t xml:space="preserve">LAKIN SM 200 MZ 5 LOTE 1104 P Y 201 P</t>
  </si>
  <si>
    <t xml:space="preserve">CANCUN</t>
  </si>
  <si>
    <t xml:space="preserve">Quintana R</t>
  </si>
  <si>
    <t xml:space="preserve">Isaac Martínez.</t>
  </si>
  <si>
    <t xml:space="preserve">Store uniform, 5' 9'' tall, short black hair.</t>
  </si>
  <si>
    <t xml:space="preserve">M250403113616358</t>
  </si>
  <si>
    <t xml:space="preserve">OXXO PAKAL CUN</t>
  </si>
  <si>
    <t xml:space="preserve">JOSE LOPEZ PORTILLO SM 101 MZA 20 LT 04</t>
  </si>
  <si>
    <t xml:space="preserve">Store uniform, 30 to 35 years old, 4' 11'' tall, short black hair.</t>
  </si>
  <si>
    <t xml:space="preserve">The visit was neutral, as I was unable to present the scenario.</t>
  </si>
  <si>
    <t xml:space="preserve">M250403113616359</t>
  </si>
  <si>
    <t xml:space="preserve">CARIBE EXPRESS BANCO CARIBE VI</t>
  </si>
  <si>
    <t xml:space="preserve">AV HERMANAS MIRABAL 387</t>
  </si>
  <si>
    <t xml:space="preserve">SANTO DOMINGO NORTE</t>
  </si>
  <si>
    <t xml:space="preserve">DOMINICAN REPUBLIC</t>
  </si>
  <si>
    <t xml:space="preserve">Fail</t>
  </si>
  <si>
    <t xml:space="preserve">Human Smuggling - Receive</t>
  </si>
  <si>
    <t xml:space="preserve">White shirt, navy blue jacket. 35 years old, 5' 4'' tall, short brown hair.</t>
  </si>
  <si>
    <t xml:space="preserve">FLA told me that the money could be received, that there was no problem.</t>
  </si>
  <si>
    <t xml:space="preserve">My experience was neutral, however, FLA was not able to warn me of the possible scam.</t>
  </si>
  <si>
    <t xml:space="preserve">M250403113616360</t>
  </si>
  <si>
    <t xml:space="preserve">OXXO CLINICA 53 BJX</t>
  </si>
  <si>
    <t xml:space="preserve">BOLEVARD JUAN JOSE TORRES LANDA5306 LOCA</t>
  </si>
  <si>
    <t xml:space="preserve">MX. ID Requirements-Send</t>
  </si>
  <si>
    <t xml:space="preserve">Ana María.</t>
  </si>
  <si>
    <t xml:space="preserve">Store uniform, 60 years old, long brown hair.</t>
  </si>
  <si>
    <t xml:space="preserve">FLA told me that it was possible to carry out the transaction without my ID, as only the 16 digits of the card I wanted to transfer to were needed.</t>
  </si>
  <si>
    <t xml:space="preserve">Man, 26 years old, 5' 7'' tall, brown hair.</t>
  </si>
  <si>
    <t xml:space="preserve">The Second FLA told the First FLA that Western Union service was available.</t>
  </si>
  <si>
    <t xml:space="preserve">Although FLA treated me kindly, she was not able to recognize the fraud and told me that it was possible to make the transaction without my ID.</t>
  </si>
  <si>
    <t xml:space="preserve">M250403113616361</t>
  </si>
  <si>
    <t xml:space="preserve">WM MC MXM DESAMPARADOS</t>
  </si>
  <si>
    <t xml:space="preserve">DENTRO DE MXM DESAMPARADOS</t>
  </si>
  <si>
    <t xml:space="preserve">DESAMPARADOS</t>
  </si>
  <si>
    <t xml:space="preserve">Human Smuggling- Send</t>
  </si>
  <si>
    <t xml:space="preserve">Supermarket uniform, 40 years old, 5' 9'' tall, short brown hair.</t>
  </si>
  <si>
    <t xml:space="preserve">FLA told me that the request was suspicious and to find out well before making any money transfers.</t>
  </si>
  <si>
    <t xml:space="preserve">FLA immediately realized that the scenario was suspicious and chose not to proceed with the transaction.</t>
  </si>
  <si>
    <t xml:space="preserve">Exchange Rate/FX Poster</t>
  </si>
  <si>
    <t xml:space="preserve">M250403113616363</t>
  </si>
  <si>
    <t xml:space="preserve">EKONO SANTA ANA</t>
  </si>
  <si>
    <t xml:space="preserve">CENTRO DE RICESA 200 OESTE</t>
  </si>
  <si>
    <t xml:space="preserve">SANTA ANA</t>
  </si>
  <si>
    <t xml:space="preserve">Short brown hair, 25 years old, store uniform, 5' 3'' tall.</t>
  </si>
  <si>
    <t xml:space="preserve">FLA was very kind. She told me that she could not help me with the transaction, as it all sounded very strange.</t>
  </si>
  <si>
    <t xml:space="preserve">FLA provided good service. She was very professional, friendly and gave me recommendations.</t>
  </si>
  <si>
    <t xml:space="preserve">M250403113616364</t>
  </si>
  <si>
    <t xml:space="preserve">FARMACIA ECONOMICAS LA GARITA</t>
  </si>
  <si>
    <t xml:space="preserve">CALLE 5 DE NOVIEMBRE Y AV JUNA BERTIS</t>
  </si>
  <si>
    <t xml:space="preserve">SAN SALVADOR</t>
  </si>
  <si>
    <t xml:space="preserve">EL SALVADOR</t>
  </si>
  <si>
    <t xml:space="preserve">ID Requirement</t>
  </si>
  <si>
    <t xml:space="preserve">Yanis.</t>
  </si>
  <si>
    <t xml:space="preserve">Pharmacy uniform, 30 years old, 5'4'' tall, short black hair.</t>
  </si>
  <si>
    <t xml:space="preserve">FLA responded that without an ID, she could not help me process the transaction because it was not allowed and also not legal.</t>
  </si>
  <si>
    <t xml:space="preserve">At no time did the FLA accept my request. It was evident that she was well-trained and had extensive knowledge of fraud risks.</t>
  </si>
  <si>
    <t xml:space="preserve">Posters, flyers, decals, other printed material | Branded digital screen | Countertop poster holders | Brochure or card holders | Exchange Rate/FX Poster | Digital signs</t>
  </si>
  <si>
    <t xml:space="preserve">M250403113616366</t>
  </si>
  <si>
    <t xml:space="preserve">HILDA MAUD HABERDASHERY</t>
  </si>
  <si>
    <t xml:space="preserve">SHOP 1 HILDA MAUD PLAZA</t>
  </si>
  <si>
    <t xml:space="preserve">YALLAHS</t>
  </si>
  <si>
    <t xml:space="preserve">Saint Thom</t>
  </si>
  <si>
    <t xml:space="preserve">JAMAICA</t>
  </si>
  <si>
    <t xml:space="preserve">Blue and white blouse, 45 years old, 5' 5'' tall, black short hair.</t>
  </si>
  <si>
    <t xml:space="preserve">FLA told me that it was mandatory to present an ID. She mentioned that processing the transaction without an ID could be a scam.</t>
  </si>
  <si>
    <t xml:space="preserve">My experience was neutral because the location was easy to find, as I am very familiar with the area, and I could easily identify it.</t>
  </si>
  <si>
    <t xml:space="preserve">M250403113616367</t>
  </si>
  <si>
    <t xml:space="preserve">FAMA</t>
  </si>
  <si>
    <t xml:space="preserve">DE LA FARMACIA TIPITAPA 1 CUADRA ARRIBA</t>
  </si>
  <si>
    <t xml:space="preserve">TIPITAPA</t>
  </si>
  <si>
    <t xml:space="preserve">NICARAGUA</t>
  </si>
  <si>
    <t xml:space="preserve">White blouse with FAMA logo and black pants. Brunette, 30 years old, 4' 11'' tall, medium long dark wavy hair.</t>
  </si>
  <si>
    <t xml:space="preserve">The FLA told me that if I did not present my ID, she would not be able to help me with the transaction.</t>
  </si>
  <si>
    <t xml:space="preserve">FLA treated me kindly throughout the entire service. She did not allow me to complete the transaction without presenting my ID.</t>
  </si>
  <si>
    <t xml:space="preserve">This Location is not a Non SWB Location</t>
  </si>
  <si>
    <t xml:space="preserve">OXXO MERCADO JUAREZ MTY</t>
  </si>
  <si>
    <t xml:space="preserve">RUPERTO MARTINEZ155</t>
  </si>
  <si>
    <t xml:space="preserve">MONTERREY</t>
  </si>
  <si>
    <t xml:space="preserve">Nuevo Leon</t>
  </si>
  <si>
    <t xml:space="preserve">MX. ID Requirements- Receive</t>
  </si>
  <si>
    <t xml:space="preserve">Unknown</t>
  </si>
  <si>
    <t xml:space="preserve">Black jacket, approximately 26 years old, 5'7" tall, slim build, straight black hair tied back, no glasses.</t>
  </si>
  <si>
    <t xml:space="preserve">The Agent stated that the transaction could not be processed because the identification was required, as the system requested some numbers from the back of it.</t>
  </si>
  <si>
    <t xml:space="preserve">The experience was positive due to the friendly and professional treatment provided by the Agent.</t>
  </si>
  <si>
    <t xml:space="preserve">M250403113616370</t>
  </si>
  <si>
    <t xml:space="preserve">ELEKTRA 210</t>
  </si>
  <si>
    <t xml:space="preserve">MIGUEL ALEMAN 223 Y 225</t>
  </si>
  <si>
    <t xml:space="preserve">Bank uniform, 40 years old, tied-back brown hair. Height not estimated as she was seated.</t>
  </si>
  <si>
    <t xml:space="preserve">FLA told me that no transaction could be made without presenting an ID.</t>
  </si>
  <si>
    <t xml:space="preserve">FLA assisted me kindly, was knowledgeable about how to process transactions, and did not agree to complete the transaction without an ID.</t>
  </si>
  <si>
    <t xml:space="preserve">M250403113616371</t>
  </si>
  <si>
    <t xml:space="preserve">6502 JARDINES DEL MORAL LEON</t>
  </si>
  <si>
    <t xml:space="preserve">BLVD ADOLFO LOPEZ MATEOS 2009 A</t>
  </si>
  <si>
    <t xml:space="preserve">Blue t-shirt, 5' 3'' tall, 24 years old, long black hair.</t>
  </si>
  <si>
    <t xml:space="preserve">FLA said she could only do the transaction with my ID. She said that was the only way she could help me.</t>
  </si>
  <si>
    <t xml:space="preserve">My experience was positive because the service was quick, and FLA was knowledgeable about how to process transfers and the necessary requirements.</t>
  </si>
  <si>
    <t xml:space="preserve">M250403113616372</t>
  </si>
  <si>
    <t xml:space="preserve">OXXO INDUSTRIAL CUN</t>
  </si>
  <si>
    <t xml:space="preserve">INDUSTRIAL REGION 95 MZA 128 LOTE 16</t>
  </si>
  <si>
    <t xml:space="preserve">Store uniform, 20 years old, 5 feet 3 inches tall, medium-length black hair.</t>
  </si>
  <si>
    <t xml:space="preserve">The attention at the branch was agile and focused on service, showing willingness to assist the customer and verify the availability of the service without having to insist on the request.</t>
  </si>
  <si>
    <t xml:space="preserve">M250403113616373</t>
  </si>
  <si>
    <t xml:space="preserve">OXXO MULTIPLAZA CUN</t>
  </si>
  <si>
    <t xml:space="preserve">PROLONGACION KABAH SMZA 229 MZA 55 LOTE</t>
  </si>
  <si>
    <t xml:space="preserve">Unknwon.</t>
  </si>
  <si>
    <t xml:space="preserve">Store uniform, 20 years old, 5' 9'' tall, short black hair.</t>
  </si>
  <si>
    <t xml:space="preserve">FLA told me that he could not perform the transaction without my ID.</t>
  </si>
  <si>
    <t xml:space="preserve">I believe FLA treated me unkindly, however, he did not agree to conduct the transaction without my ID.</t>
  </si>
  <si>
    <t xml:space="preserve">M250403113616374</t>
  </si>
  <si>
    <t xml:space="preserve">OXXO SCHUMANN GDL</t>
  </si>
  <si>
    <t xml:space="preserve">ROBERT SCHUMANN 5147</t>
  </si>
  <si>
    <t xml:space="preserve">ZAPOPAN</t>
  </si>
  <si>
    <t xml:space="preserve">Jalisco</t>
  </si>
  <si>
    <t xml:space="preserve">Black t-shirt and sweater. 28 years old, short dark brown hair, height not estimated.</t>
  </si>
  <si>
    <t xml:space="preserve">After hesitating, FLA told me that I could not do the transaction without an ID.</t>
  </si>
  <si>
    <t xml:space="preserve">FLA was not very attentive while assisting me, however, he told me that he could not perform any transaction without my ID.</t>
  </si>
  <si>
    <t xml:space="preserve">M250403113616376</t>
  </si>
  <si>
    <t xml:space="preserve">OXXO PRADOS TEPEYAC GDL</t>
  </si>
  <si>
    <t xml:space="preserve">XOCHITL AV 4262</t>
  </si>
  <si>
    <t xml:space="preserve">MX. Bribe- Receive</t>
  </si>
  <si>
    <t xml:space="preserve">Company uniform, 27 years old, 5'8" tall, straight dark brown hair.</t>
  </si>
  <si>
    <t xml:space="preserve">FLA told me that it was necessary to present an ID, as it had to be entered into the system.</t>
  </si>
  <si>
    <t xml:space="preserve">FLA's attention was quick and answered my questions. He did not accept to make the transaction without an ID.</t>
  </si>
  <si>
    <t xml:space="preserve">M250403113616377</t>
  </si>
  <si>
    <t xml:space="preserve">WALDOS CIUDADELA URBAN VILLAGE</t>
  </si>
  <si>
    <t xml:space="preserve">AV MOCTEZUMA 1437</t>
  </si>
  <si>
    <t xml:space="preserve">Gray t-shirt and blue denim pants. 45 years old, 6' 3'' tall, short gray hair and mustache.</t>
  </si>
  <si>
    <t xml:space="preserve">FLA told me that I did need an ID to corroborate the data and enter it into the system. He said a copy of my ID would do.</t>
  </si>
  <si>
    <t xml:space="preserve">The attention was very good, and he did not accept the transaction without my ID.</t>
  </si>
  <si>
    <t xml:space="preserve">M250403113616378</t>
  </si>
  <si>
    <t xml:space="preserve">OXXO GAVIOTA CUN</t>
  </si>
  <si>
    <t xml:space="preserve">113 MZ 105LOTE 6</t>
  </si>
  <si>
    <t xml:space="preserve">Mariana Anay Rivera Diaz.</t>
  </si>
  <si>
    <t xml:space="preserve">Store uniform, 50 years old, 5' 1'' tall, short black hair.</t>
  </si>
  <si>
    <t xml:space="preserve">FLA told me that she could not process my transaction without my ID.</t>
  </si>
  <si>
    <t xml:space="preserve">Elizabeth.</t>
  </si>
  <si>
    <t xml:space="preserve">Woman, 4' 11'' tall, straight black hair.</t>
  </si>
  <si>
    <t xml:space="preserve">When I inquired about Oralandi Valuta services, the first FLA was unsure, so she turned to her colleague, who immediately advised her and she explained why she required my identification.</t>
  </si>
  <si>
    <t xml:space="preserve">Both FLAs were willing to answer questions and provide efficient service. Their attitude was proactive.</t>
  </si>
  <si>
    <t xml:space="preserve">M250403113616379</t>
  </si>
  <si>
    <t xml:space="preserve">OXXO CHAPALITA ORIENTE GDL</t>
  </si>
  <si>
    <t xml:space="preserve">AV GUADALUPE 1627</t>
  </si>
  <si>
    <t xml:space="preserve">OXXO uniform. Wheat-colored skin, approximately 60 years old, 5'7" tall, gray short hair.</t>
  </si>
  <si>
    <t xml:space="preserve">The FLA seemed a bit surprised when I told him I would give him 200 pesos if he allowed me to collect the money without presenting identification. He told me he could not accept that, as it is against policy and I must show my INE.</t>
  </si>
  <si>
    <t xml:space="preserve">When I asked the FLA if he was authorized to process an Orlandi Valuta transaction, he told me that he didn't know what I was referring to. I explained that they were money transfers, and he said he could process transfers, but he didn't know which companies the transfers were from until he entered the reference in the system, at which point the company name would appear. Otherwise, he wouldn't know. For this reason, I didn't feel like he had much knowledge on the subject.</t>
  </si>
  <si>
    <t xml:space="preserve">EVALUATION_ID</t>
  </si>
  <si>
    <t xml:space="preserve">Evaluation ID</t>
  </si>
  <si>
    <t xml:space="preserve">LOCATION_ID</t>
  </si>
  <si>
    <t xml:space="preserve">Evaluation Date</t>
  </si>
  <si>
    <t xml:space="preserve">LOCATION_NAME</t>
  </si>
  <si>
    <t xml:space="preserve">Evaluation Time</t>
  </si>
  <si>
    <t xml:space="preserve">LOCATION_ADDRESS1</t>
  </si>
  <si>
    <t xml:space="preserve">Evaluation Score</t>
  </si>
  <si>
    <t xml:space="preserve">LOCATION_CITY</t>
  </si>
  <si>
    <t xml:space="preserve">Compliance</t>
  </si>
  <si>
    <t xml:space="preserve">LOCATION_STATE</t>
  </si>
  <si>
    <t xml:space="preserve">Reliability</t>
  </si>
  <si>
    <t xml:space="preserve">LOCATION_ZIP</t>
  </si>
  <si>
    <t xml:space="preserve">Convenience</t>
  </si>
  <si>
    <t xml:space="preserve">LOCATION_COUNTRY</t>
  </si>
  <si>
    <t xml:space="preserve">Empathy and Professionalism</t>
  </si>
  <si>
    <t xml:space="preserve">AUTOFILL: Did this location pass or fail?</t>
  </si>
  <si>
    <t xml:space="preserve">Safety</t>
  </si>
  <si>
    <t xml:space="preserve">Location ID</t>
  </si>
  <si>
    <t xml:space="preserve">Date of Evaluation:</t>
  </si>
  <si>
    <t xml:space="preserve">Location Name</t>
  </si>
  <si>
    <t xml:space="preserve">Time visit began:</t>
  </si>
  <si>
    <t xml:space="preserve">Location Address</t>
  </si>
  <si>
    <t xml:space="preserve">Time visit ended:</t>
  </si>
  <si>
    <t xml:space="preserve">City</t>
  </si>
  <si>
    <t xml:space="preserve">State</t>
  </si>
  <si>
    <t xml:space="preserve">Scenario Used:</t>
  </si>
  <si>
    <t xml:space="preserve">Country</t>
  </si>
  <si>
    <t xml:space="preserve">Zip</t>
  </si>
  <si>
    <t xml:space="preserve">Agent ID</t>
  </si>
  <si>
    <t xml:space="preserve">Net ID</t>
  </si>
  <si>
    <t xml:space="preserve">Brand</t>
  </si>
  <si>
    <t xml:space="preserve">Name of the FLA who assisted you:</t>
  </si>
  <si>
    <t xml:space="preserve">Group</t>
  </si>
  <si>
    <t xml:space="preserve">Gender of FLA:</t>
  </si>
  <si>
    <t xml:space="preserve">LocYTD Avg</t>
  </si>
  <si>
    <t xml:space="preserve">Additional description of the FLA:&lt;br&gt;(Height, Hair color/length, glasses/no glasses, approx. age)</t>
  </si>
  <si>
    <t xml:space="preserve">Evaluation Status</t>
  </si>
  <si>
    <t xml:space="preserve">AUTOFILL: Vendor Escalation?</t>
  </si>
  <si>
    <t xml:space="preserve">Were you able to successfully complete your shop?</t>
  </si>
  <si>
    <t xml:space="preserve">7a.  Please detail what the Agent said when you explained you had your ID, but didn't want to show it.</t>
  </si>
  <si>
    <t xml:space="preserve">Did you access westernunion.com and call the location to verify location’s address and hours of operation before visiting the location? (Do not call if the evaluation is in Central America, Mexico, Bolivia, Ecuador, and Chile) </t>
  </si>
  <si>
    <t xml:space="preserve">9. Did the FLA ask for assistance from anyone at the location while assisting you?</t>
  </si>
  <si>
    <t xml:space="preserve">Please upload a photo of the phone log showing the number dialed for verification. We need to know the date and time of call, so if it isn't clear in your screenshot - ensure you mention it in your narrative e.g. I called WU on Jan 5th at 10:15 am.</t>
  </si>
  <si>
    <t xml:space="preserve">9a. If YES, please specify his/her name (and/or title):</t>
  </si>
  <si>
    <t xml:space="preserve">1. Were you successfully able to complete this shop? (e.g. send the money, receive the money?)</t>
  </si>
  <si>
    <t xml:space="preserve">1.1 Please provide a detailed narrative explaining why you were unable to complete the shop.</t>
  </si>
  <si>
    <t xml:space="preserve">Date shop performed:</t>
  </si>
  <si>
    <t xml:space="preserve">9b. Description of second FLA who assisted you (gender, age range, height, race, hair color):</t>
  </si>
  <si>
    <t xml:space="preserve">Time shop performed:</t>
  </si>
  <si>
    <t xml:space="preserve">9c. Please specify how the second FLA assisted.</t>
  </si>
  <si>
    <t xml:space="preserve">Day of the week shop performed:</t>
  </si>
  <si>
    <t xml:space="preserve">10. Please detail your entire interaction here, from the time you were greeted to the time you left. Be sure to include exactly what you said and how they responded. Please make sure to include if you confirmed if the employee is a Western Union agent.&lt;b&gt;Por favor, detalhe toda a sua interaÃ§Ã£o aqui, do momento em que vocÃª foi recebido atÃ© o momento que vocÃª deixou o local.Se certifique de incluir exatamente o que vocÃª disse e como eles responderam.</t>
  </si>
  <si>
    <t xml:space="preserve">In what language was this shop performed?</t>
  </si>
  <si>
    <t xml:space="preserve">Did the agent confirm if this location offers Vigo or Orlandi Valuta (OV) services?</t>
  </si>
  <si>
    <t xml:space="preserve">11. Was the required state sign / license displayed at the location?</t>
  </si>
  <si>
    <t xml:space="preserve">Scenario:</t>
  </si>
  <si>
    <t xml:space="preserve">EVALUATOR CONFIRMATION OF SCENARIO USED/ATTEMPTED: SCENARIO 1:Lottery or Prize Scam</t>
  </si>
  <si>
    <t xml:space="preserve">EVALUATOR CONFIRMATION OF SCENARIO USED/ATTEMPTED: SCENARIO 2: Prepayment Scam- Job Processing Fee</t>
  </si>
  <si>
    <t xml:space="preserve">EVALUATOR CONFIRMATION OF SCENARIO USED/ATTEMPTED: SCENARIO 3: Charity Scam- Humanitarian Help</t>
  </si>
  <si>
    <t xml:space="preserve">15. Were there any signage, informational or promotional materials displayed in the location (inside/outside) or given/shown to you by the Agent?</t>
  </si>
  <si>
    <t xml:space="preserve">EVALUATOR CONFIRMATION OF SCENARIO USED/ATTEMPTED: SCENARIO 4: Human Smuggling-Receive</t>
  </si>
  <si>
    <t xml:space="preserve">15a. If yes, Please indicate if the materials included any of the following.</t>
  </si>
  <si>
    <t xml:space="preserve">EVALUATOR CONFIRMATION OF SCENARIO USED/ATTEMPTED: SCENARIO 5: Human Smuggling-Send</t>
  </si>
  <si>
    <t xml:space="preserve">EVALUATOR CONFIRMATION OF SCENARIO USED/ATTEMPTED: SCENARIO 6: Emergency Scam</t>
  </si>
  <si>
    <t xml:space="preserve">EVALUATOR CONFIRMATION OF SCENARIO USED/ATTEMPTED: SCENARIO 7: Illegal Gambling-Receive</t>
  </si>
  <si>
    <t xml:space="preserve">EVALUATOR CONFIRMATION OF SCENARIO USED/ATTEMPTED: SCENARIO 8: Illegal Gambling-Send</t>
  </si>
  <si>
    <t xml:space="preserve">EVALUATOR CONFIRMATION OF SCENARIO USED/ATTEMPTED: SCENARIO 9: Relationship Scam-Receive</t>
  </si>
  <si>
    <t xml:space="preserve">EVALUATOR CONFIRMATION OF SCENARIO USED/ATTEMPTED: SCENARIO 10: Relationship Scam- Send</t>
  </si>
  <si>
    <t xml:space="preserve">EVALUATOR CONFIRMATION OF SCENARIO USED/ATTEMPTED:</t>
  </si>
  <si>
    <t xml:space="preserve">EVALUATOR CONFIRMATION OF SCENARIO USED/ATTEMPTED: SCENARIO: 12: ID Requirements- Send</t>
  </si>
  <si>
    <t xml:space="preserve">EVALUATOR CONFIRMATION OF SCENARIO USED/ATTEMPTED: SCENARIO: 13: Extortion</t>
  </si>
  <si>
    <t xml:space="preserve">EVALUATOR CONFIRMATION OF SCENARIO USED/ATTEMPTED: SCENARIO: MX.1. ID Requirements- Send</t>
  </si>
  <si>
    <t xml:space="preserve">EVALUATOR CONFIRMATION OF SCENARIO USED/ATTEMPTED: SCENARIO: MX.2. Sending from a list</t>
  </si>
  <si>
    <t xml:space="preserve">EVALUATOR CONFIRMATION OF SCENARIO USED/ATTEMPTED: SCENARIO: MX.3. Bribe-Receive</t>
  </si>
  <si>
    <t xml:space="preserve">EVALUATOR CONFIRMATION OF SCENARIO USED/ATTEMPTED:  SCENARIO: MX.4. Bribe-Send</t>
  </si>
  <si>
    <t xml:space="preserve">EVALUATOR CONFIRMATION OF SCENARIO USED/ATTEMPTED: SCENARIO: MX.5. Human Smuggling-Receive</t>
  </si>
  <si>
    <t xml:space="preserve">EVALUATOR CONFIRMATION OF SCENARIO USED/ATTEMPTED: SCENARIO: MX.6. Lottery or Prize Scam</t>
  </si>
  <si>
    <t xml:space="preserve">EVALUATOR CONFIRMATION OF SCENARIO USED/ATTEMPTED: SCENARIO: MX.7. ID Requirements-Receive</t>
  </si>
  <si>
    <t xml:space="preserve">EVALUATOR CONFIRMATION OF SCENARIO USED/ATTEMPTED: SCENARIO: MX.8. Kidnapping Scam-Receive</t>
  </si>
  <si>
    <t xml:space="preserve">EVALUATOR CONFIRMATION OF SCENARIO USED/ATTEMPTED: SCENARIO: MX.9: Kidnapping Scam-Send</t>
  </si>
  <si>
    <t xml:space="preserve">EVALUATOR CONFIRMATION OF SCENARIO USED/ATTEMPTED: SCENARIO: MX.10: Extortion - Fees</t>
  </si>
  <si>
    <t xml:space="preserve">Evaluator gender:</t>
  </si>
  <si>
    <t xml:space="preserve">General physical description of Evaluator (Please include clothing, ethnicity, approx age, height, hair color and length):</t>
  </si>
  <si>
    <t xml:space="preserve">Date and time Evaluator called location to verify Western Union services are currently offered and operational (if no phone number then when reviewed the information in wu.com)</t>
  </si>
  <si>
    <t xml:space="preserve">Name of FLA (Customer Service Associate) who assisted you:</t>
  </si>
  <si>
    <t xml:space="preserve">In what manner was the name of the FLA obtained?</t>
  </si>
  <si>
    <t xml:space="preserve">Additional description of FLA (Please include clothing, ethnicity, approx age, height, hair color and length):</t>
  </si>
  <si>
    <t xml:space="preserve">Did this location pass or fail? (Pass=Didn't agree to do the transaction. Fail= Agreed to do the transaction.)</t>
  </si>
  <si>
    <t xml:space="preserve">2. Did the Agent agree to do the transaction based off the scenario you presented?</t>
  </si>
  <si>
    <t xml:space="preserve">2.1 If yes, did you confirm with the Agent a second time and reiterate the transaction needed?</t>
  </si>
  <si>
    <t xml:space="preserve">Did FLA agree to complete the transaction when you asked a second time?</t>
  </si>
  <si>
    <t xml:space="preserve">Please detail how the Agent responded to your transaction request.</t>
  </si>
  <si>
    <t xml:space="preserve">Did the Agent provide guidance or tools to help you report the potentially fraudulent transaction?</t>
  </si>
  <si>
    <t xml:space="preserve">Did the Agent say your transaction was illegal or potentially fraudulent?</t>
  </si>
  <si>
    <t xml:space="preserve">Did the Point of Sale have Fraud materials on display (e.g., fraud brochure, fraud poster, send form warning)?</t>
  </si>
  <si>
    <t xml:space="preserve">In your Local Language- Please detail your entire interaction here, from the time you were greeted to the time you left. Be sure to include exactly what you said and how they responded. Be sure to include the details required as shown in the guidelines. Also, include how you obtained the name of the FLA if it was provided(verbally, nametag, etc):</t>
  </si>
  <si>
    <t xml:space="preserve">Please detail your entire interaction here, from the time you were greeted to the time you left. Be sure to include exactly what you said and how they responded. Be sure to include the details required as shown in the guidelines. Also, include how you obtained the name of the FLA if it was provided(verbally, nametag, etc): (DQ TRANSALATE TO ENGLISH IF NEEDED)</t>
  </si>
  <si>
    <t xml:space="preserve">Picture of Front Entry (Location Exterior) (1)</t>
  </si>
  <si>
    <t xml:space="preserve">Picture of Front Entry (Location Exterior) (2)</t>
  </si>
  <si>
    <t xml:space="preserve">Picture of Front Window (With Western Union/Vigo/Orlandi Valuta signage and branding Visible)</t>
  </si>
  <si>
    <t xml:space="preserve">Shop View Link</t>
  </si>
  <si>
    <t xml:space="preserve">Month_Year</t>
  </si>
  <si>
    <t xml:space="preserve">Visit Status</t>
  </si>
  <si>
    <t xml:space="preserve">Uns. reason</t>
  </si>
  <si>
    <t xml:space="preserve">Agent_ID</t>
  </si>
  <si>
    <t xml:space="preserve">Avail. Analysis</t>
  </si>
  <si>
    <t xml:space="preserve">Pass/Fail</t>
  </si>
  <si>
    <t xml:space="preserve">Escalated?</t>
  </si>
  <si>
    <t xml:space="preserve">Duplicate</t>
  </si>
  <si>
    <t xml:space="preserve">F1</t>
  </si>
  <si>
    <t xml:space="preserve">F2</t>
  </si>
  <si>
    <t xml:space="preserve">Type of Service</t>
  </si>
  <si>
    <t xml:space="preserve">Location Type</t>
  </si>
  <si>
    <t xml:space="preserve">Changed Date</t>
  </si>
  <si>
    <t xml:space="preserve">SOUTHWEST BORDER</t>
  </si>
  <si>
    <t xml:space="preserve">Shopper Gender</t>
  </si>
  <si>
    <t xml:space="preserve">Shopper Ethnicity</t>
  </si>
  <si>
    <t xml:space="preserve">Date Shop Performed</t>
  </si>
  <si>
    <t xml:space="preserve">Time Visit Began</t>
  </si>
  <si>
    <t xml:space="preserve">Time Visit Ended</t>
  </si>
  <si>
    <t xml:space="preserve">Scenario Used</t>
  </si>
  <si>
    <t xml:space="preserve">Scenario Detail</t>
  </si>
  <si>
    <t xml:space="preserve">FLA Name</t>
  </si>
  <si>
    <t xml:space="preserve">FLA Gender</t>
  </si>
  <si>
    <t xml:space="preserve">FLA Description</t>
  </si>
  <si>
    <t xml:space="preserve">Interaction Detail</t>
  </si>
  <si>
    <t xml:space="preserve">Mystery Shopping</t>
  </si>
  <si>
    <t xml:space="preserve">CaseList</t>
  </si>
  <si>
    <t xml:space="preserve">Raw Data</t>
  </si>
  <si>
    <t xml:space="preserve">Position</t>
  </si>
  <si>
    <t xml:space="preserve">EVALUATION_DATE</t>
  </si>
  <si>
    <t xml:space="preserve">6. Please detail how the Agent responded to your transaction request.</t>
  </si>
  <si>
    <t xml:space="preserve">NON/SWB</t>
  </si>
  <si>
    <t xml:space="preserve">Domo Upload Date</t>
  </si>
</sst>
</file>

<file path=xl/styles.xml><?xml version="1.0" encoding="utf-8"?>
<styleSheet xmlns="http://schemas.openxmlformats.org/spreadsheetml/2006/main">
  <numFmts count="7">
    <numFmt numFmtId="164" formatCode="General"/>
    <numFmt numFmtId="165" formatCode="@"/>
    <numFmt numFmtId="166" formatCode="0"/>
    <numFmt numFmtId="167" formatCode="m/d/yyyy"/>
    <numFmt numFmtId="168" formatCode="h:mm:ss\ AM/PM"/>
    <numFmt numFmtId="169" formatCode="0;[RED]0"/>
    <numFmt numFmtId="170" formatCode="[$-409]d\-mmm\-yyyy;@"/>
  </numFmts>
  <fonts count="12">
    <font>
      <sz val="11"/>
      <color theme="1"/>
      <name val="Calibri"/>
      <family val="2"/>
      <charset val="1"/>
    </font>
    <font>
      <sz val="10"/>
      <name val="Arial"/>
      <family val="0"/>
    </font>
    <font>
      <sz val="10"/>
      <name val="Arial"/>
      <family val="0"/>
    </font>
    <font>
      <sz val="10"/>
      <name val="Arial"/>
      <family val="0"/>
    </font>
    <font>
      <b val="true"/>
      <sz val="16"/>
      <color theme="1"/>
      <name val="Calibri"/>
      <family val="2"/>
      <charset val="1"/>
    </font>
    <font>
      <sz val="11"/>
      <color theme="0"/>
      <name val="Calibri"/>
      <family val="2"/>
      <charset val="1"/>
    </font>
    <font>
      <b val="true"/>
      <sz val="11"/>
      <color theme="0"/>
      <name val="Calibri"/>
      <family val="2"/>
      <charset val="1"/>
    </font>
    <font>
      <b val="true"/>
      <sz val="11"/>
      <color theme="1"/>
      <name val="Calibri"/>
      <family val="2"/>
      <charset val="1"/>
    </font>
    <font>
      <sz val="11"/>
      <color rgb="FF000000"/>
      <name val="Calibri"/>
      <family val="2"/>
      <charset val="1"/>
    </font>
    <font>
      <b val="true"/>
      <sz val="11"/>
      <color rgb="FFFF0000"/>
      <name val="Calibri"/>
      <family val="2"/>
      <charset val="1"/>
    </font>
    <font>
      <b val="true"/>
      <sz val="11"/>
      <name val="Calibri"/>
      <family val="2"/>
      <charset val="1"/>
    </font>
    <font>
      <sz val="11"/>
      <name val="Calibri"/>
      <family val="2"/>
      <charset val="1"/>
    </font>
  </fonts>
  <fills count="5">
    <fill>
      <patternFill patternType="none"/>
    </fill>
    <fill>
      <patternFill patternType="gray125"/>
    </fill>
    <fill>
      <patternFill patternType="solid">
        <fgColor theme="2" tint="-0.25"/>
        <bgColor rgb="FFADB9CA"/>
      </patternFill>
    </fill>
    <fill>
      <patternFill patternType="solid">
        <fgColor theme="4" tint="0.5999"/>
        <bgColor rgb="FFADB9CA"/>
      </patternFill>
    </fill>
    <fill>
      <patternFill patternType="solid">
        <fgColor theme="3" tint="0.5999"/>
        <bgColor rgb="FFAFABAB"/>
      </patternFill>
    </fill>
  </fills>
  <borders count="8">
    <border diagonalUp="false" diagonalDown="false">
      <left/>
      <right/>
      <top/>
      <bottom/>
      <diagonal/>
    </border>
    <border diagonalUp="false" diagonalDown="false">
      <left style="thin"/>
      <right style="thin"/>
      <top style="thin"/>
      <bottom style="thin"/>
      <diagonal/>
    </border>
    <border diagonalUp="false" diagonalDown="false">
      <left style="thin"/>
      <right style="thin"/>
      <top style="thin"/>
      <bottom/>
      <diagonal/>
    </border>
    <border diagonalUp="false" diagonalDown="false">
      <left/>
      <right style="thin"/>
      <top/>
      <bottom style="thin"/>
      <diagonal/>
    </border>
    <border diagonalUp="false" diagonalDown="false">
      <left style="thin"/>
      <right style="thin"/>
      <top/>
      <bottom style="thin"/>
      <diagonal/>
    </border>
    <border diagonalUp="false" diagonalDown="false">
      <left style="thin"/>
      <right/>
      <top/>
      <bottom style="thin"/>
      <diagonal/>
    </border>
    <border diagonalUp="false" diagonalDown="false">
      <left style="thin"/>
      <right/>
      <top style="thin"/>
      <bottom style="thin"/>
      <diagonal/>
    </border>
    <border diagonalUp="false" diagonalDown="false">
      <left/>
      <right style="thin"/>
      <top style="thin"/>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60">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false" indent="0" shrinkToFit="false"/>
      <protection locked="true" hidden="false"/>
    </xf>
    <xf numFmtId="164" fontId="4" fillId="2" borderId="0" xfId="0" applyFont="true" applyBorder="true" applyAlignment="true" applyProtection="false">
      <alignment horizontal="center" vertical="center" textRotation="0" wrapText="false" indent="0" shrinkToFit="false"/>
      <protection locked="true" hidden="false"/>
    </xf>
    <xf numFmtId="164" fontId="5" fillId="3" borderId="1" xfId="0" applyFont="true" applyBorder="true" applyAlignment="true" applyProtection="true">
      <alignment horizontal="general" vertical="bottom" textRotation="0" wrapText="false" indent="0" shrinkToFit="false"/>
      <protection locked="false" hidden="false"/>
    </xf>
    <xf numFmtId="164" fontId="6" fillId="3" borderId="1" xfId="0" applyFont="true" applyBorder="true" applyAlignment="true" applyProtection="false">
      <alignment horizontal="general" vertical="bottom" textRotation="0" wrapText="false" indent="0" shrinkToFit="false"/>
      <protection locked="true" hidden="false"/>
    </xf>
    <xf numFmtId="165" fontId="6" fillId="0" borderId="1" xfId="0" applyFont="true" applyBorder="true" applyAlignment="true" applyProtection="false">
      <alignment horizontal="general" vertical="bottom" textRotation="0" wrapText="false" indent="0" shrinkToFit="false"/>
      <protection locked="true" hidden="false"/>
    </xf>
    <xf numFmtId="165" fontId="6" fillId="3" borderId="1" xfId="0" applyFont="true" applyBorder="true" applyAlignment="true" applyProtection="false">
      <alignment horizontal="general" vertical="bottom" textRotation="0" wrapText="false" indent="0" shrinkToFit="false"/>
      <protection locked="true" hidden="false"/>
    </xf>
    <xf numFmtId="164" fontId="6" fillId="0" borderId="1" xfId="0" applyFont="true" applyBorder="true" applyAlignment="true" applyProtection="false">
      <alignment horizontal="general" vertical="bottom" textRotation="0" wrapText="false" indent="0" shrinkToFit="false"/>
      <protection locked="true" hidden="false"/>
    </xf>
    <xf numFmtId="164" fontId="6" fillId="0" borderId="1" xfId="0" applyFont="true" applyBorder="true" applyAlignment="true" applyProtection="true">
      <alignment horizontal="general" vertical="bottom" textRotation="0" wrapText="true" indent="0" shrinkToFit="false"/>
      <protection locked="false" hidden="false"/>
    </xf>
    <xf numFmtId="164" fontId="6" fillId="0" borderId="1" xfId="0" applyFont="true" applyBorder="true" applyAlignment="true" applyProtection="true">
      <alignment horizontal="general" vertical="bottom" textRotation="0" wrapText="false" indent="0" shrinkToFit="false"/>
      <protection locked="false" hidden="false"/>
    </xf>
    <xf numFmtId="164" fontId="5" fillId="0" borderId="1" xfId="0" applyFont="true" applyBorder="true" applyAlignment="true" applyProtection="true">
      <alignment horizontal="general" vertical="bottom" textRotation="0" wrapText="false" indent="0" shrinkToFit="false"/>
      <protection locked="false" hidden="false"/>
    </xf>
    <xf numFmtId="164" fontId="5" fillId="3" borderId="1" xfId="0" applyFont="true" applyBorder="true" applyAlignment="true" applyProtection="false">
      <alignment horizontal="general" vertical="bottom" textRotation="0" wrapText="false" indent="0" shrinkToFit="false"/>
      <protection locked="true" hidden="false"/>
    </xf>
    <xf numFmtId="164" fontId="5" fillId="0" borderId="0" xfId="0" applyFont="true" applyBorder="false" applyAlignment="true" applyProtection="false">
      <alignment horizontal="general" vertical="bottom" textRotation="0" wrapText="false" indent="0" shrinkToFit="false"/>
      <protection locked="true" hidden="false"/>
    </xf>
    <xf numFmtId="164" fontId="7" fillId="0" borderId="1" xfId="0" applyFont="true" applyBorder="true" applyAlignment="true" applyProtection="false">
      <alignment horizontal="general" vertical="bottom" textRotation="0" wrapText="false" indent="0" shrinkToFit="false"/>
      <protection locked="true" hidden="false"/>
    </xf>
    <xf numFmtId="164" fontId="0" fillId="0" borderId="1" xfId="0" applyFont="true" applyBorder="true" applyAlignment="true" applyProtection="false">
      <alignment horizontal="general" vertical="bottom" textRotation="0" wrapText="false" indent="0" shrinkToFit="false"/>
      <protection locked="true" hidden="false"/>
    </xf>
    <xf numFmtId="164" fontId="8" fillId="0" borderId="1" xfId="0" applyFont="true" applyBorder="true" applyAlignment="true" applyProtection="false">
      <alignment horizontal="general" vertical="bottom" textRotation="0" wrapText="false" indent="0" shrinkToFit="false"/>
      <protection locked="true" hidden="false"/>
    </xf>
    <xf numFmtId="166" fontId="0" fillId="0" borderId="1" xfId="0" applyFont="false" applyBorder="true" applyAlignment="true" applyProtection="false">
      <alignment horizontal="right" vertical="bottom" textRotation="0" wrapText="false" indent="0" shrinkToFit="false"/>
      <protection locked="true" hidden="false"/>
    </xf>
    <xf numFmtId="166" fontId="0" fillId="0" borderId="1" xfId="0" applyFont="false" applyBorder="true" applyAlignment="true" applyProtection="false">
      <alignment horizontal="general" vertical="bottom" textRotation="0" wrapText="false" indent="0" shrinkToFit="false"/>
      <protection locked="true" hidden="false"/>
    </xf>
    <xf numFmtId="167" fontId="0" fillId="0" borderId="1" xfId="0" applyFont="false" applyBorder="true" applyAlignment="true" applyProtection="false">
      <alignment horizontal="general" vertical="bottom" textRotation="0" wrapText="false" indent="0" shrinkToFit="false"/>
      <protection locked="true" hidden="false"/>
    </xf>
    <xf numFmtId="166" fontId="0" fillId="0" borderId="0" xfId="0" applyFont="false" applyBorder="false" applyAlignment="true" applyProtection="false">
      <alignment horizontal="general" vertical="bottom" textRotation="0" wrapText="false" indent="0" shrinkToFit="false"/>
      <protection locked="true" hidden="false"/>
    </xf>
    <xf numFmtId="164" fontId="7" fillId="0" borderId="2" xfId="0" applyFont="true" applyBorder="true" applyAlignment="true" applyProtection="false">
      <alignment horizontal="general" vertical="bottom" textRotation="0" wrapText="false" indent="0" shrinkToFit="false"/>
      <protection locked="true" hidden="false"/>
    </xf>
    <xf numFmtId="164" fontId="8" fillId="0" borderId="2" xfId="0" applyFont="true" applyBorder="true" applyAlignment="true" applyProtection="false">
      <alignment horizontal="general" vertical="bottom" textRotation="0" wrapText="false" indent="0" shrinkToFit="false"/>
      <protection locked="true" hidden="false"/>
    </xf>
    <xf numFmtId="166" fontId="0" fillId="0" borderId="2" xfId="0" applyFont="false" applyBorder="true" applyAlignment="true" applyProtection="false">
      <alignment horizontal="right" vertical="bottom" textRotation="0" wrapText="false" indent="0" shrinkToFit="false"/>
      <protection locked="true" hidden="false"/>
    </xf>
    <xf numFmtId="166" fontId="0" fillId="0" borderId="2" xfId="0" applyFont="false" applyBorder="true" applyAlignment="true" applyProtection="false">
      <alignment horizontal="general" vertical="bottom" textRotation="0" wrapText="false" indent="0" shrinkToFit="false"/>
      <protection locked="true" hidden="false"/>
    </xf>
    <xf numFmtId="167" fontId="0" fillId="0" borderId="2" xfId="0" applyFont="false" applyBorder="true" applyAlignment="true" applyProtection="false">
      <alignment horizontal="general" vertical="bottom" textRotation="0" wrapText="false" indent="0" shrinkToFit="false"/>
      <protection locked="true" hidden="false"/>
    </xf>
    <xf numFmtId="167" fontId="0" fillId="0" borderId="0" xfId="0" applyFont="false" applyBorder="false" applyAlignment="true" applyProtection="false">
      <alignment horizontal="general" vertical="bottom" textRotation="0" wrapText="false" indent="0" shrinkToFit="false"/>
      <protection locked="true" hidden="false"/>
    </xf>
    <xf numFmtId="168" fontId="0" fillId="0" borderId="0" xfId="0" applyFont="false" applyBorder="false" applyAlignment="tru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0" shrinkToFit="false"/>
      <protection locked="true" hidden="false"/>
    </xf>
    <xf numFmtId="169" fontId="0" fillId="0" borderId="0" xfId="0" applyFont="false" applyBorder="false" applyAlignment="true" applyProtection="false">
      <alignment horizontal="general" vertical="bottom" textRotation="0" wrapText="false" indent="0" shrinkToFit="false"/>
      <protection locked="true" hidden="false"/>
    </xf>
    <xf numFmtId="165" fontId="0" fillId="0" borderId="0" xfId="0" applyFont="false" applyBorder="false" applyAlignment="true" applyProtection="false">
      <alignment horizontal="general" vertical="bottom" textRotation="0" wrapText="false" indent="0" shrinkToFit="false"/>
      <protection locked="true" hidden="false"/>
    </xf>
    <xf numFmtId="164" fontId="0" fillId="4" borderId="3" xfId="0" applyFont="true" applyBorder="true" applyAlignment="true" applyProtection="true">
      <alignment horizontal="general" vertical="bottom" textRotation="0" wrapText="false" indent="0" shrinkToFit="false"/>
      <protection locked="false" hidden="false"/>
    </xf>
    <xf numFmtId="164" fontId="9" fillId="4" borderId="4" xfId="0" applyFont="true" applyBorder="true" applyAlignment="true" applyProtection="false">
      <alignment horizontal="general" vertical="bottom" textRotation="0" wrapText="false" indent="0" shrinkToFit="false"/>
      <protection locked="true" hidden="false"/>
    </xf>
    <xf numFmtId="169" fontId="9" fillId="4" borderId="4" xfId="0" applyFont="true" applyBorder="true" applyAlignment="true" applyProtection="true">
      <alignment horizontal="general" vertical="bottom" textRotation="0" wrapText="false" indent="0" shrinkToFit="false"/>
      <protection locked="false" hidden="false"/>
    </xf>
    <xf numFmtId="165" fontId="9" fillId="0" borderId="4" xfId="0" applyFont="true" applyBorder="true" applyAlignment="true" applyProtection="false">
      <alignment horizontal="general" vertical="bottom" textRotation="0" wrapText="false" indent="0" shrinkToFit="false"/>
      <protection locked="true" hidden="false"/>
    </xf>
    <xf numFmtId="165" fontId="9" fillId="4" borderId="4" xfId="0" applyFont="true" applyBorder="true" applyAlignment="true" applyProtection="false">
      <alignment horizontal="general" vertical="bottom" textRotation="0" wrapText="false" indent="0" shrinkToFit="false"/>
      <protection locked="true" hidden="false"/>
    </xf>
    <xf numFmtId="164" fontId="0" fillId="0" borderId="4" xfId="0" applyFont="true" applyBorder="true" applyAlignment="true" applyProtection="false">
      <alignment horizontal="general" vertical="bottom" textRotation="0" wrapText="false" indent="0" shrinkToFit="false"/>
      <protection locked="true" hidden="false"/>
    </xf>
    <xf numFmtId="164" fontId="0" fillId="0" borderId="4" xfId="0" applyFont="true" applyBorder="true" applyAlignment="true" applyProtection="true">
      <alignment horizontal="general" vertical="bottom" textRotation="0" wrapText="true" indent="0" shrinkToFit="false"/>
      <protection locked="false" hidden="false"/>
    </xf>
    <xf numFmtId="164" fontId="0" fillId="0" borderId="4" xfId="0" applyFont="true" applyBorder="true" applyAlignment="true" applyProtection="true">
      <alignment horizontal="general" vertical="bottom" textRotation="0" wrapText="false" indent="0" shrinkToFit="false"/>
      <protection locked="false" hidden="false"/>
    </xf>
    <xf numFmtId="164" fontId="9" fillId="0" borderId="4" xfId="0" applyFont="true" applyBorder="true" applyAlignment="true" applyProtection="true">
      <alignment horizontal="general" vertical="bottom" textRotation="0" wrapText="false" indent="0" shrinkToFit="false"/>
      <protection locked="false" hidden="false"/>
    </xf>
    <xf numFmtId="164" fontId="9" fillId="0" borderId="4" xfId="0" applyFont="true" applyBorder="true" applyAlignment="true" applyProtection="false">
      <alignment horizontal="general" vertical="bottom" textRotation="0" wrapText="false" indent="0" shrinkToFit="false"/>
      <protection locked="true" hidden="false"/>
    </xf>
    <xf numFmtId="165" fontId="9" fillId="0" borderId="4" xfId="0" applyFont="true" applyBorder="true" applyAlignment="true" applyProtection="true">
      <alignment horizontal="general" vertical="bottom" textRotation="0" wrapText="false" indent="0" shrinkToFit="false"/>
      <protection locked="false" hidden="false"/>
    </xf>
    <xf numFmtId="164" fontId="9" fillId="0" borderId="4" xfId="0" applyFont="true" applyBorder="true" applyAlignment="true" applyProtection="false">
      <alignment horizontal="general" vertical="bottom" textRotation="0" wrapText="true" indent="0" shrinkToFit="false"/>
      <protection locked="true" hidden="false"/>
    </xf>
    <xf numFmtId="164" fontId="9" fillId="0" borderId="5" xfId="0" applyFont="true" applyBorder="true" applyAlignment="true" applyProtection="true">
      <alignment horizontal="general" vertical="bottom" textRotation="0" wrapText="false" indent="0" shrinkToFit="false"/>
      <protection locked="false" hidden="false"/>
    </xf>
    <xf numFmtId="164" fontId="0" fillId="4" borderId="3" xfId="0" applyFont="true" applyBorder="true" applyAlignment="true" applyProtection="false">
      <alignment horizontal="general" vertical="bottom" textRotation="0" wrapText="false" indent="0" shrinkToFit="false"/>
      <protection locked="true" hidden="false"/>
    </xf>
    <xf numFmtId="164" fontId="8" fillId="0" borderId="6" xfId="0" applyFont="true" applyBorder="true" applyAlignment="true" applyProtection="false">
      <alignment horizontal="general" vertical="bottom" textRotation="0" wrapText="false" indent="0" shrinkToFit="false"/>
      <protection locked="true" hidden="false"/>
    </xf>
    <xf numFmtId="164" fontId="0" fillId="0" borderId="7" xfId="0" applyFont="true" applyBorder="true" applyAlignment="true" applyProtection="false">
      <alignment horizontal="general" vertical="bottom" textRotation="0" wrapText="false" indent="0" shrinkToFit="false"/>
      <protection locked="true" hidden="false"/>
    </xf>
    <xf numFmtId="166" fontId="0" fillId="0" borderId="6" xfId="0" applyFont="false" applyBorder="true" applyAlignment="true" applyProtection="false">
      <alignment horizontal="general" vertical="bottom" textRotation="0" wrapText="false" indent="0" shrinkToFit="false"/>
      <protection locked="true" hidden="false"/>
    </xf>
    <xf numFmtId="167" fontId="0" fillId="0" borderId="1" xfId="0" applyFont="false" applyBorder="true" applyAlignment="true" applyProtection="false">
      <alignment horizontal="right" vertical="bottom" textRotation="0" wrapText="false" indent="0" shrinkToFit="false"/>
      <protection locked="true" hidden="false"/>
    </xf>
    <xf numFmtId="166" fontId="0" fillId="0" borderId="7" xfId="0" applyFont="false" applyBorder="true" applyAlignment="true" applyProtection="false">
      <alignment horizontal="right" vertical="bottom" textRotation="0" wrapText="false" indent="0" shrinkToFit="false"/>
      <protection locked="true" hidden="false"/>
    </xf>
    <xf numFmtId="170" fontId="0" fillId="0" borderId="0" xfId="0" applyFont="false" applyBorder="false" applyAlignment="true" applyProtection="false">
      <alignment horizontal="general" vertical="bottom" textRotation="0" wrapText="false" indent="0" shrinkToFit="false"/>
      <protection locked="true" hidden="false"/>
    </xf>
    <xf numFmtId="167" fontId="0" fillId="0" borderId="0" xfId="0" applyFont="true" applyBorder="false" applyAlignment="true" applyProtection="false">
      <alignment horizontal="general" vertical="bottom" textRotation="0" wrapText="false" indent="0" shrinkToFit="false"/>
      <protection locked="true" hidden="false"/>
    </xf>
    <xf numFmtId="170" fontId="0" fillId="0" borderId="0" xfId="0" applyFont="true" applyBorder="false" applyAlignment="true" applyProtection="false">
      <alignment horizontal="general" vertical="bottom" textRotation="0" wrapText="false" indent="0" shrinkToFit="false"/>
      <protection locked="true" hidden="false"/>
    </xf>
    <xf numFmtId="164" fontId="7" fillId="0" borderId="0" xfId="0" applyFont="true" applyBorder="false" applyAlignment="true" applyProtection="false">
      <alignment horizontal="general" vertical="bottom" textRotation="0" wrapText="false" indent="0" shrinkToFit="false"/>
      <protection locked="true" hidden="false"/>
    </xf>
    <xf numFmtId="167" fontId="7" fillId="0" borderId="0" xfId="0" applyFont="true" applyBorder="false" applyAlignment="true" applyProtection="false">
      <alignment horizontal="general" vertical="bottom" textRotation="0" wrapText="false" indent="0" shrinkToFit="false"/>
      <protection locked="true" hidden="false"/>
    </xf>
    <xf numFmtId="166" fontId="7" fillId="0" borderId="0" xfId="0" applyFont="true" applyBorder="false" applyAlignment="true" applyProtection="false">
      <alignment horizontal="general" vertical="bottom" textRotation="0" wrapText="false" indent="0" shrinkToFit="false"/>
      <protection locked="true" hidden="false"/>
    </xf>
    <xf numFmtId="170" fontId="7" fillId="0" borderId="0" xfId="0" applyFont="true" applyBorder="false" applyAlignment="true" applyProtection="false">
      <alignment horizontal="general" vertical="bottom" textRotation="0" wrapText="false" indent="0" shrinkToFit="false"/>
      <protection locked="true" hidden="false"/>
    </xf>
    <xf numFmtId="164" fontId="7" fillId="0" borderId="0" xfId="0" applyFont="true" applyBorder="false" applyAlignment="true" applyProtection="false">
      <alignment horizontal="general" vertical="bottom" textRotation="0" wrapText="true" indent="0" shrinkToFit="false"/>
      <protection locked="true" hidden="false"/>
    </xf>
    <xf numFmtId="164" fontId="10" fillId="0" borderId="0" xfId="0" applyFont="true" applyBorder="false" applyAlignment="true" applyProtection="false">
      <alignment horizontal="general" vertical="center" textRotation="0" wrapText="false" indent="0" shrinkToFit="false"/>
      <protection locked="true" hidden="false"/>
    </xf>
    <xf numFmtId="164" fontId="11" fillId="0" borderId="0" xfId="0" applyFont="true" applyBorder="false" applyAlignment="true" applyProtection="false">
      <alignment horizontal="general" vertical="center"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7">
    <dxf>
      <fill>
        <patternFill patternType="solid">
          <fgColor rgb="FFB4C7E7"/>
          <bgColor rgb="FF000000"/>
        </patternFill>
      </fill>
    </dxf>
    <dxf>
      <fill>
        <patternFill patternType="solid">
          <bgColor rgb="FF000000"/>
        </patternFill>
      </fill>
    </dxf>
    <dxf>
      <fill>
        <patternFill patternType="solid">
          <fgColor rgb="FF000000"/>
          <bgColor rgb="FF000000"/>
        </patternFill>
      </fill>
    </dxf>
    <dxf>
      <fill>
        <patternFill patternType="solid">
          <fgColor rgb="FFFFFFFF"/>
          <bgColor rgb="FF000000"/>
        </patternFill>
      </fill>
    </dxf>
    <dxf>
      <font>
        <color rgb="FF9C0006"/>
      </font>
      <fill>
        <patternFill>
          <bgColor rgb="FFFFC7CE"/>
        </patternFill>
      </fill>
    </dxf>
    <dxf>
      <fill>
        <patternFill patternType="solid">
          <fgColor rgb="FFADB9CA"/>
          <bgColor rgb="FF000000"/>
        </patternFill>
      </fill>
    </dxf>
    <dxf>
      <fill>
        <patternFill patternType="solid">
          <fgColor rgb="FFFF0000"/>
          <bgColor rgb="FF000000"/>
        </patternFill>
      </fill>
    </dxf>
  </dxfs>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ADB9CA"/>
      <rgbColor rgb="FF808080"/>
      <rgbColor rgb="FF9999FF"/>
      <rgbColor rgb="FF993366"/>
      <rgbColor rgb="FFFFFFCC"/>
      <rgbColor rgb="FFCCFFFF"/>
      <rgbColor rgb="FF660066"/>
      <rgbColor rgb="FFFF8080"/>
      <rgbColor rgb="FF0066CC"/>
      <rgbColor rgb="FFB4C7E7"/>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7CE"/>
      <rgbColor rgb="FF3366FF"/>
      <rgbColor rgb="FF33CCCC"/>
      <rgbColor rgb="FF99CC00"/>
      <rgbColor rgb="FFFFCC00"/>
      <rgbColor rgb="FFFF9900"/>
      <rgbColor rgb="FFFF6600"/>
      <rgbColor rgb="FF666699"/>
      <rgbColor rgb="FFAFABAB"/>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ctrlProps/ctrlProps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5" descr="Import Data" hidden="0"/>
            <xdr:cNvSpPr/>
          </xdr:nvSpPr>
          <xdr:spPr>
            <a:xfrm>
              <a:off x="0" y="0"/>
              <a:ext cx="0" cy="0"/>
            </a:xfrm>
            <a:prstGeom prst="rect">
              <a:avLst/>
            </a:prstGeom>
          </xdr:spPr>
          <xdr:txBody>
            <a:bodyPr anchor="ctr">
              <a:noAutofit/>
            </a:bodyPr>
            <a:p>
              <a:r>
                <a:t>Import Data</a:t>
              </a:r>
            </a:p>
          </xdr:txBody>
        </xdr:sp>
        <xdr:clientData/>
      </xdr:twoCellAnchor>
    </mc:Choice>
  </mc:AlternateContent>
</xdr:wsDr>
</file>

<file path=xl/drawings/drawing3.xml><?xml version="1.0" encoding="utf-8"?>
<xdr:wsDr xmlns:xdr="http://schemas.openxmlformats.org/drawingml/2006/spreadsheetDrawing" xmlns:a="http://schemas.openxmlformats.org/drawingml/2006/main" xmlns:r="http://schemas.openxmlformats.org/officeDocument/2006/relationships"/>
</file>

<file path=xl/drawings/drawing4.xml><?xml version="1.0" encoding="utf-8"?>
<xdr:wsDr xmlns:xdr="http://schemas.openxmlformats.org/drawingml/2006/spreadsheetDrawing" xmlns:a="http://schemas.openxmlformats.org/drawingml/2006/main" xmlns:r="http://schemas.openxmlformats.org/officeDocument/2006/relationships"/>
</file>

<file path=xl/drawings/drawing5.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1" descr="Review Duplicates" hidden="0"/>
            <xdr:cNvSpPr/>
          </xdr:nvSpPr>
          <xdr:spPr>
            <a:xfrm>
              <a:off x="0" y="0"/>
              <a:ext cx="0" cy="0"/>
            </a:xfrm>
            <a:prstGeom prst="rect">
              <a:avLst/>
            </a:prstGeom>
          </xdr:spPr>
          <xdr:txBody>
            <a:bodyPr anchor="ctr">
              <a:noAutofit/>
            </a:bodyPr>
            <a:p>
              <a:r>
                <a:t>Review Duplicates</a:t>
              </a:r>
            </a:p>
          </xdr:txBody>
        </xdr:sp>
        <xdr:clientData/>
      </xdr:twoCellAnchor>
    </mc:Choice>
  </mc:AlternateContent>
</xdr:wsDr>
</file>

<file path=xl/tables/table1.xml><?xml version="1.0" encoding="utf-8"?>
<table xmlns="http://schemas.openxmlformats.org/spreadsheetml/2006/main" id="1" name="Table1" displayName="Table1" ref="A6:AR15" headerRowCount="1" totalsRowCount="0" totalsRowShown="0">
  <autoFilter ref="A6:AR15"/>
  <tableColumns count="44">
    <tableColumn id="1" name="Case ID"/>
    <tableColumn id="2" name="Interview Type"/>
    <tableColumn id="3" name="Business Group"/>
    <tableColumn id="4" name="Shop ID"/>
    <tableColumn id="5" name="Subject Id"/>
    <tableColumn id="6" name="Subject Type"/>
    <tableColumn id="7" name="Subject Name"/>
    <tableColumn id="8" name="Subject Address"/>
    <tableColumn id="9" name="Subject City"/>
    <tableColumn id="10" name="Subject State"/>
    <tableColumn id="11" name="Subject Zip Code"/>
    <tableColumn id="12" name="Subject Country"/>
    <tableColumn id="13" name="Final Pass Fail"/>
    <tableColumn id="14" name="Results of Mystery Shop"/>
    <tableColumn id="15" name="Date of shop:"/>
    <tableColumn id="16" name="Time shop started:"/>
    <tableColumn id="17" name="Time shop ended:"/>
    <tableColumn id="18" name="Time zone of location shopped:"/>
    <tableColumn id="19" name="Scenario used:"/>
    <tableColumn id="20" name="Have you ever been to this location before?"/>
    <tableColumn id="21" name="If YES, did you conduct a transaction (either sending or receiving)?"/>
    <tableColumn id="22" name="1.  Were there any customers ahead of you?"/>
    <tableColumn id="23" name="1a.  If YES, please specify how many customers were ahead of you in line."/>
    <tableColumn id="24" name="2.  Name of the FLA who assisted you:"/>
    <tableColumn id="25" name="2a.  Gender of FLA:"/>
    <tableColumn id="26" name="2b.  Ethnicity of FLA:"/>
    <tableColumn id="27" name="2c.  Additional description of the FLA:"/>
    <tableColumn id="28" name="3.  When you asked if you could send a transaction without an ID, did the FLA guide you on how you could send a transaction in order to avoid the ID requirement?"/>
    <tableColumn id="29" name="3a.  If YES, please specify what the FLA said."/>
    <tableColumn id="30" name="4. When you stated that you did not have an ID, please specify how the FLA responded."/>
    <tableColumn id="31" name="5. Did the FLA ask for assistance from anyone at the location while assisting you?"/>
    <tableColumn id="32" name="5a.  If YES, please specify his/her name (and/or title):"/>
    <tableColumn id="33" name="5b.  Gender of second FLA:"/>
    <tableColumn id="34" name="5c.  Ethnicity of FLA:"/>
    <tableColumn id="35" name="5d. Additional description of the FLA:"/>
    <tableColumn id="36" name="6.  Please specify how the second FLA assisted."/>
    <tableColumn id="37" name="7.  Please detail your entire interaction here, from the time you enter the location to the time you left."/>
    <tableColumn id="38" name="8.  Did this location pass or fail?"/>
    <tableColumn id="39" name="9.  Was the required state sign displayed at the location?"/>
    <tableColumn id="40" name="9a.  If NO, please specify what was missing."/>
    <tableColumn id="41" name="10.  Were there any WU Marketing Materials in any language other than English and/or Spanish?"/>
    <tableColumn id="42" name="10a.  If Yes, please specify what language was used."/>
    <tableColumn id="43" name="11. Were there any Agent created signs referencing additional fees beyond approved Western Union Fees?"/>
    <tableColumn id="44" name="11a. If YES, please provide specific details of the sign, including what the sign said."/>
  </tableColumns>
</table>
</file>

<file path=xl/tables/table2.xml><?xml version="1.0" encoding="utf-8"?>
<table xmlns="http://schemas.openxmlformats.org/spreadsheetml/2006/main" id="2" name="Table13" displayName="Table13" ref="A5:Y18" headerRowCount="1" totalsRowCount="0" totalsRowShown="0">
  <autoFilter ref="A5:Y18"/>
  <tableColumns count="25">
    <tableColumn id="1" name="Case ID"/>
    <tableColumn id="2" name="Interview Type"/>
    <tableColumn id="3" name="Business Group"/>
    <tableColumn id="4" name="Shop ID"/>
    <tableColumn id="5" name="Subject Id"/>
    <tableColumn id="6" name="Subject Type"/>
    <tableColumn id="7" name="Subject Name"/>
    <tableColumn id="8" name="Subject Address"/>
    <tableColumn id="9" name="Subject City"/>
    <tableColumn id="10" name="Subject State"/>
    <tableColumn id="11" name="Subject Zip Code"/>
    <tableColumn id="12" name="Subject Country"/>
    <tableColumn id="13" name="Shopper Gender"/>
    <tableColumn id="14" name="Shopper Ethnicity"/>
    <tableColumn id="15" name="Date Shop Performed"/>
    <tableColumn id="16" name="Time Visit Began"/>
    <tableColumn id="17" name="Time Visit Ended"/>
    <tableColumn id="18" name="Scenario Used"/>
    <tableColumn id="19" name="Scenario Detail"/>
    <tableColumn id="20" name="FLA Name"/>
    <tableColumn id="21" name="FLA Gender"/>
    <tableColumn id="22" name="FLA Description"/>
    <tableColumn id="23" name="Interaction Detail"/>
    <tableColumn id="24" name="Final Pass Fail"/>
    <tableColumn id="25" name="Results of Mystery Shop"/>
  </tableColumns>
</table>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s2.xml"/><Relationship Id="rId4" Type="http://schemas.openxmlformats.org/officeDocument/2006/relationships/table" Target="../tables/table1.xml"/>
</Relationships>
</file>

<file path=xl/worksheets/_rels/sheet3.xml.rels><?xml version="1.0" encoding="UTF-8"?>
<Relationships xmlns="http://schemas.openxmlformats.org/package/2006/relationships"><Relationship Id="rId1" Type="http://schemas.openxmlformats.org/officeDocument/2006/relationships/drawing" Target="../drawings/drawing3.xml"/>
</Relationships>
</file>

<file path=xl/worksheets/_rels/sheet4.xml.rels><?xml version="1.0" encoding="UTF-8"?>
<Relationships xmlns="http://schemas.openxmlformats.org/package/2006/relationships"><Relationship Id="rId1" Type="http://schemas.openxmlformats.org/officeDocument/2006/relationships/table" Target="../tables/table2.xml"/>
</Relationships>
</file>

<file path=xl/worksheets/_rels/sheet6.xml.rels><?xml version="1.0" encoding="UTF-8"?>
<Relationships xmlns="http://schemas.openxmlformats.org/package/2006/relationships"><Relationship Id="rId1" Type="http://schemas.openxmlformats.org/officeDocument/2006/relationships/drawing" Target="../drawings/drawing4.xml"/>
</Relationships>
</file>

<file path=xl/worksheets/_rels/sheet7.xml.rels><?xml version="1.0" encoding="UTF-8"?>
<Relationships xmlns="http://schemas.openxmlformats.org/package/2006/relationships"><Relationship Id="rId1" Type="http://schemas.openxmlformats.org/officeDocument/2006/relationships/drawing" Target="../drawings/drawing5.xml"/><Relationship Id="rId2" Type="http://schemas.openxmlformats.org/officeDocument/2006/relationships/vmlDrawing" Target="../drawings/vmlDrawing2.vml"/><Relationship Id="rId3" Type="http://schemas.openxmlformats.org/officeDocument/2006/relationships/ctrlProp" Target="../ctrlProps/ctrlProps6.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AT15"/>
  <sheetViews>
    <sheetView showFormulas="false" showGridLines="true" showRowColHeaders="true" showZeros="true" rightToLeft="false" tabSelected="false" showOutlineSymbols="true" defaultGridColor="true" view="normal" topLeftCell="A1" colorId="64" zoomScale="80" zoomScaleNormal="80" zoomScalePageLayoutView="100" workbookViewId="0">
      <selection pane="topLeft" activeCell="B7" activeCellId="0" sqref="B7"/>
    </sheetView>
  </sheetViews>
  <sheetFormatPr defaultColWidth="8.6796875" defaultRowHeight="14.25" zeroHeight="false" outlineLevelRow="0" outlineLevelCol="0"/>
  <cols>
    <col collapsed="false" customWidth="true" hidden="false" outlineLevel="0" max="1" min="1" style="1" width="22.18"/>
    <col collapsed="false" customWidth="true" hidden="false" outlineLevel="0" max="2" min="2" style="1" width="27.82"/>
    <col collapsed="false" customWidth="true" hidden="false" outlineLevel="0" max="3" min="3" style="1" width="16.82"/>
    <col collapsed="false" customWidth="true" hidden="false" outlineLevel="0" max="4" min="4" style="1" width="10.18"/>
    <col collapsed="false" customWidth="true" hidden="false" outlineLevel="0" max="5" min="5" style="1" width="27.45"/>
    <col collapsed="false" customWidth="true" hidden="false" outlineLevel="0" max="6" min="6" style="1" width="14.36"/>
    <col collapsed="false" customWidth="true" hidden="false" outlineLevel="0" max="7" min="7" style="1" width="33.82"/>
    <col collapsed="false" customWidth="true" hidden="false" outlineLevel="0" max="8" min="8" style="1" width="40.54"/>
    <col collapsed="false" customWidth="true" hidden="false" outlineLevel="0" max="9" min="9" style="1" width="15.45"/>
    <col collapsed="false" customWidth="true" hidden="false" outlineLevel="0" max="10" min="10" style="1" width="16.36"/>
    <col collapsed="false" customWidth="true" hidden="false" outlineLevel="0" max="11" min="11" style="1" width="17.63"/>
    <col collapsed="false" customWidth="true" hidden="false" outlineLevel="0" max="12" min="12" style="1" width="18.82"/>
    <col collapsed="false" customWidth="true" hidden="false" outlineLevel="0" max="13" min="13" style="1" width="15.18"/>
    <col collapsed="false" customWidth="true" hidden="false" outlineLevel="0" max="14" min="14" style="1" width="23.82"/>
    <col collapsed="false" customWidth="true" hidden="false" outlineLevel="0" max="15" min="15" style="1" width="14.82"/>
    <col collapsed="false" customWidth="true" hidden="false" outlineLevel="0" max="16" min="16" style="1" width="19.18"/>
    <col collapsed="false" customWidth="true" hidden="false" outlineLevel="0" max="17" min="17" style="1" width="18.63"/>
    <col collapsed="false" customWidth="true" hidden="false" outlineLevel="0" max="18" min="18" style="1" width="29.82"/>
    <col collapsed="false" customWidth="true" hidden="false" outlineLevel="0" max="19" min="19" style="1" width="32.63"/>
    <col collapsed="false" customWidth="true" hidden="false" outlineLevel="0" max="20" min="20" style="1" width="40.09"/>
    <col collapsed="false" customWidth="true" hidden="false" outlineLevel="0" max="21" min="21" style="1" width="59.09"/>
    <col collapsed="false" customWidth="true" hidden="false" outlineLevel="0" max="22" min="22" style="1" width="40.63"/>
    <col collapsed="false" customWidth="true" hidden="false" outlineLevel="0" max="23" min="23" style="1" width="65.18"/>
    <col collapsed="false" customWidth="true" hidden="false" outlineLevel="0" max="24" min="24" style="1" width="35.09"/>
    <col collapsed="false" customWidth="true" hidden="false" outlineLevel="0" max="25" min="25" style="1" width="19.45"/>
    <col collapsed="false" customWidth="true" hidden="false" outlineLevel="0" max="26" min="26" style="1" width="20.45"/>
    <col collapsed="false" customWidth="true" hidden="false" outlineLevel="0" max="27" min="27" style="1" width="108.82"/>
    <col collapsed="false" customWidth="true" hidden="false" outlineLevel="0" max="28" min="28" style="1" width="38.54"/>
    <col collapsed="false" customWidth="true" hidden="false" outlineLevel="0" max="29" min="29" style="1" width="40"/>
    <col collapsed="false" customWidth="true" hidden="false" outlineLevel="0" max="30" min="30" style="1" width="107.18"/>
    <col collapsed="false" customWidth="true" hidden="false" outlineLevel="0" max="31" min="31" style="1" width="71.82"/>
    <col collapsed="false" customWidth="true" hidden="false" outlineLevel="0" max="32" min="32" style="1" width="48"/>
    <col collapsed="false" customWidth="true" hidden="false" outlineLevel="0" max="33" min="33" style="1" width="25.82"/>
    <col collapsed="false" customWidth="true" hidden="false" outlineLevel="0" max="34" min="34" style="1" width="20.18"/>
    <col collapsed="false" customWidth="true" hidden="false" outlineLevel="0" max="35" min="35" style="1" width="34.63"/>
    <col collapsed="false" customWidth="true" hidden="false" outlineLevel="0" max="36" min="36" style="1" width="42.54"/>
    <col collapsed="false" customWidth="true" hidden="false" outlineLevel="0" max="37" min="37" style="1" width="160.09"/>
    <col collapsed="false" customWidth="true" hidden="false" outlineLevel="0" max="38" min="38" style="1" width="29.82"/>
    <col collapsed="false" customWidth="true" hidden="false" outlineLevel="0" max="39" min="39" style="1" width="51.18"/>
    <col collapsed="false" customWidth="true" hidden="false" outlineLevel="0" max="40" min="40" style="1" width="39.54"/>
    <col collapsed="false" customWidth="true" hidden="false" outlineLevel="0" max="41" min="41" style="1" width="37.54"/>
    <col collapsed="false" customWidth="true" hidden="false" outlineLevel="0" max="42" min="42" style="1" width="46.63"/>
    <col collapsed="false" customWidth="true" hidden="false" outlineLevel="0" max="43" min="43" style="1" width="56.09"/>
    <col collapsed="false" customWidth="true" hidden="false" outlineLevel="0" max="44" min="44" style="1" width="42.45"/>
    <col collapsed="false" customWidth="true" hidden="false" outlineLevel="0" max="46" min="46" style="1" width="19.63"/>
  </cols>
  <sheetData>
    <row r="2" customFormat="false" ht="14.25" hidden="false" customHeight="true" outlineLevel="0" collapsed="false">
      <c r="F2" s="2" t="s">
        <v>0</v>
      </c>
      <c r="G2" s="2"/>
      <c r="H2" s="2"/>
    </row>
    <row r="3" customFormat="false" ht="14.25" hidden="false" customHeight="true" outlineLevel="0" collapsed="false">
      <c r="F3" s="2"/>
      <c r="G3" s="2"/>
      <c r="H3" s="2"/>
    </row>
    <row r="6" s="12" customFormat="true" ht="14.25" hidden="false" customHeight="true" outlineLevel="0" collapsed="false">
      <c r="A6" s="3" t="s">
        <v>1</v>
      </c>
      <c r="B6" s="4" t="s">
        <v>2</v>
      </c>
      <c r="C6" s="4" t="s">
        <v>3</v>
      </c>
      <c r="D6" s="4" t="s">
        <v>4</v>
      </c>
      <c r="E6" s="5" t="s">
        <v>5</v>
      </c>
      <c r="F6" s="6" t="s">
        <v>6</v>
      </c>
      <c r="G6" s="7" t="s">
        <v>7</v>
      </c>
      <c r="H6" s="8" t="s">
        <v>8</v>
      </c>
      <c r="I6" s="7" t="s">
        <v>9</v>
      </c>
      <c r="J6" s="7" t="s">
        <v>10</v>
      </c>
      <c r="K6" s="9" t="s">
        <v>11</v>
      </c>
      <c r="L6" s="9" t="s">
        <v>12</v>
      </c>
      <c r="M6" s="4" t="s">
        <v>13</v>
      </c>
      <c r="N6" s="9" t="s">
        <v>14</v>
      </c>
      <c r="O6" s="5" t="s">
        <v>15</v>
      </c>
      <c r="P6" s="5" t="s">
        <v>16</v>
      </c>
      <c r="Q6" s="5" t="s">
        <v>17</v>
      </c>
      <c r="R6" s="10" t="s">
        <v>18</v>
      </c>
      <c r="S6" s="5" t="s">
        <v>19</v>
      </c>
      <c r="T6" s="5" t="s">
        <v>20</v>
      </c>
      <c r="U6" s="5" t="s">
        <v>21</v>
      </c>
      <c r="V6" s="10" t="s">
        <v>22</v>
      </c>
      <c r="W6" s="10" t="s">
        <v>23</v>
      </c>
      <c r="X6" s="5" t="s">
        <v>24</v>
      </c>
      <c r="Y6" s="5" t="s">
        <v>25</v>
      </c>
      <c r="Z6" s="5" t="s">
        <v>26</v>
      </c>
      <c r="AA6" s="5" t="s">
        <v>27</v>
      </c>
      <c r="AB6" s="10" t="s">
        <v>28</v>
      </c>
      <c r="AC6" s="10" t="s">
        <v>29</v>
      </c>
      <c r="AD6" s="9" t="s">
        <v>30</v>
      </c>
      <c r="AE6" s="9" t="s">
        <v>31</v>
      </c>
      <c r="AF6" s="9" t="s">
        <v>32</v>
      </c>
      <c r="AG6" s="10" t="s">
        <v>33</v>
      </c>
      <c r="AH6" s="10" t="s">
        <v>34</v>
      </c>
      <c r="AI6" s="10" t="s">
        <v>35</v>
      </c>
      <c r="AJ6" s="10" t="s">
        <v>36</v>
      </c>
      <c r="AK6" s="9" t="s">
        <v>37</v>
      </c>
      <c r="AL6" s="9" t="s">
        <v>38</v>
      </c>
      <c r="AM6" s="9" t="s">
        <v>39</v>
      </c>
      <c r="AN6" s="9" t="s">
        <v>40</v>
      </c>
      <c r="AO6" s="10" t="s">
        <v>41</v>
      </c>
      <c r="AP6" s="10" t="s">
        <v>42</v>
      </c>
      <c r="AQ6" s="10" t="s">
        <v>43</v>
      </c>
      <c r="AR6" s="10" t="s">
        <v>44</v>
      </c>
      <c r="AS6" s="11" t="s">
        <v>45</v>
      </c>
    </row>
    <row r="7" customFormat="false" ht="14.25" hidden="false" customHeight="true" outlineLevel="0" collapsed="false">
      <c r="A7" s="13"/>
      <c r="B7" s="14" t="s">
        <v>46</v>
      </c>
      <c r="C7" s="14" t="s">
        <v>47</v>
      </c>
      <c r="D7" s="15" t="n">
        <v>12386139</v>
      </c>
      <c r="E7" s="16" t="str">
        <f aca="false">IFERROR(IF(VLOOKUP($D7,'Raw Data'!$B:$DE,VLOOKUP('Non-SWB CaseList'!E$6,'Non-SWB Lists'!$A$1:$C$39,3,FALSE()),FALSE())=0,"",VLOOKUP($D7,'Raw Data'!$B:$DE,VLOOKUP('Non-SWB CaseList'!E$6,'Non-SWB Lists'!$A$1:$C$39,3,FALSE()),FALSE())),"")</f>
        <v/>
      </c>
      <c r="F7" s="14" t="s">
        <v>48</v>
      </c>
      <c r="G7" s="17" t="str">
        <f aca="false">IFERROR(IF(VLOOKUP($D7,'Raw Data'!$B:$DE,VLOOKUP('Non-SWB CaseList'!G$6,'Non-SWB Lists'!$A$1:$C$39,3,FALSE()),FALSE())=0,"",VLOOKUP($D7,'Raw Data'!$B:$DE,VLOOKUP('Non-SWB CaseList'!G$6,'Non-SWB Lists'!$A$1:$C$39,3,FALSE()),FALSE())),"")</f>
        <v/>
      </c>
      <c r="H7" s="17" t="str">
        <f aca="false">IFERROR(IF(VLOOKUP($D7,'Raw Data'!$B:$DE,VLOOKUP('Non-SWB CaseList'!H$6,'Non-SWB Lists'!$A$1:$C$39,3,FALSE()),FALSE())=0,"",VLOOKUP($D7,'Raw Data'!$B:$DE,VLOOKUP('Non-SWB CaseList'!H$6,'Non-SWB Lists'!$A$1:$C$39,3,FALSE()),FALSE())),"")</f>
        <v/>
      </c>
      <c r="I7" s="17" t="str">
        <f aca="false">IFERROR(IF(VLOOKUP($D7,'Raw Data'!$B:$DE,VLOOKUP('Non-SWB CaseList'!I$6,'Non-SWB Lists'!$A$1:$C$39,3,FALSE()),FALSE())=0,"",VLOOKUP($D7,'Raw Data'!$B:$DE,VLOOKUP('Non-SWB CaseList'!I$6,'Non-SWB Lists'!$A$1:$C$39,3,FALSE()),FALSE())),"")</f>
        <v/>
      </c>
      <c r="J7" s="17" t="str">
        <f aca="false">IFERROR(IF(VLOOKUP($D7,'Raw Data'!$B:$DE,VLOOKUP('Non-SWB CaseList'!J$6,'Non-SWB Lists'!$A$1:$C$39,3,FALSE()),FALSE())=0,"",VLOOKUP($D7,'Raw Data'!$B:$DE,VLOOKUP('Non-SWB CaseList'!J$6,'Non-SWB Lists'!$A$1:$C$39,3,FALSE()),FALSE())),"")</f>
        <v/>
      </c>
      <c r="K7" s="17" t="str">
        <f aca="false">IFERROR(IF(VLOOKUP($D7,'Raw Data'!$B:$DE,VLOOKUP('Non-SWB CaseList'!K$6,'Non-SWB Lists'!$A$1:$C$39,3,FALSE()),FALSE())=0,"",VLOOKUP($D7,'Raw Data'!$B:$DE,VLOOKUP('Non-SWB CaseList'!K$6,'Non-SWB Lists'!$A$1:$C$39,3,FALSE()),FALSE())),"")</f>
        <v/>
      </c>
      <c r="L7" s="17" t="str">
        <f aca="false">IFERROR(IF(VLOOKUP($D7,'Raw Data'!$B:$DE,VLOOKUP('Non-SWB CaseList'!L$6,'Non-SWB Lists'!$A$1:$C$39,3,FALSE()),FALSE())=0,"",VLOOKUP($D7,'Raw Data'!$B:$DE,VLOOKUP('Non-SWB CaseList'!L$6,'Non-SWB Lists'!$A$1:$C$39,3,FALSE()),FALSE())),"")</f>
        <v/>
      </c>
      <c r="M7" s="17" t="str">
        <f aca="false">IFERROR(IF(VLOOKUP($D7,'Raw Data'!$B:$DE,VLOOKUP('Non-SWB CaseList'!M$6,'Non-SWB Lists'!$A$1:$C$39,3,FALSE()),FALSE())=0,"",VLOOKUP($D7,'Raw Data'!$B:$DE,VLOOKUP('Non-SWB CaseList'!M$6,'Non-SWB Lists'!$A$1:$C$39,3,FALSE()),FALSE())),"")</f>
        <v/>
      </c>
      <c r="N7" s="17" t="str">
        <f aca="false">IFERROR(IF(VLOOKUP($D7,'Raw Data'!$B:$DE,VLOOKUP('Non-SWB CaseList'!N$6,'Non-SWB Lists'!$A$1:$C$39,3,FALSE()),FALSE())=0,"",VLOOKUP($D7,'Raw Data'!$B:$DE,VLOOKUP('Non-SWB CaseList'!N$6,'Non-SWB Lists'!$A$1:$C$39,3,FALSE()),FALSE())),"")</f>
        <v/>
      </c>
      <c r="O7" s="18" t="str">
        <f aca="false">IFERROR(IF(VLOOKUP($D7,'Raw Data'!$B:$DE,VLOOKUP('Non-SWB CaseList'!O$6,'Non-SWB Lists'!$A$1:$C$39,3,FALSE()),FALSE())=0,"",VLOOKUP($D7,'Raw Data'!$B:$DE,VLOOKUP('Non-SWB CaseList'!O$6,'Non-SWB Lists'!$A$1:$C$39,3,FALSE()),FALSE())),"")</f>
        <v/>
      </c>
      <c r="P7" s="18" t="str">
        <f aca="false">IFERROR(IF(VLOOKUP($D7,'Raw Data'!$B:$DE,VLOOKUP('Non-SWB CaseList'!P$6,'Non-SWB Lists'!$A$1:$C$39,3,FALSE()),FALSE())=0,"",VLOOKUP($D7,'Raw Data'!$B:$DE,VLOOKUP('Non-SWB CaseList'!P$6,'Non-SWB Lists'!$A$1:$C$39,3,FALSE()),FALSE())),"")</f>
        <v/>
      </c>
      <c r="Q7" s="18" t="str">
        <f aca="false">IFERROR(IF(VLOOKUP($D7,'Raw Data'!$B:$DE,VLOOKUP('Non-SWB CaseList'!Q$6,'Non-SWB Lists'!$A$1:$C$39,3,FALSE()),FALSE())=0,"",VLOOKUP($D7,'Raw Data'!$B:$DE,VLOOKUP('Non-SWB CaseList'!Q$6,'Non-SWB Lists'!$A$1:$C$39,3,FALSE()),FALSE())),"")</f>
        <v/>
      </c>
      <c r="R7" s="18" t="str">
        <f aca="false">IFERROR(IF(VLOOKUP($D7,'Raw Data'!$B:$DE,VLOOKUP('Non-SWB CaseList'!R$6,'Non-SWB Lists'!$A$1:$C$39,3,FALSE()),FALSE())=0,"",VLOOKUP($D7,'Raw Data'!$B:$DE,VLOOKUP('Non-SWB CaseList'!R$6,'Non-SWB Lists'!$A$1:$C$39,3,FALSE()),FALSE())),"")</f>
        <v/>
      </c>
      <c r="S7" s="18" t="str">
        <f aca="false">IFERROR(IF(VLOOKUP($D7,'Raw Data'!$B:$DE,VLOOKUP('Non-SWB CaseList'!S$6,'Non-SWB Lists'!$A$1:$C$39,3,FALSE()),FALSE())=0,"",VLOOKUP($D7,'Raw Data'!$B:$DE,VLOOKUP('Non-SWB CaseList'!S$6,'Non-SWB Lists'!$A$1:$C$39,3,FALSE()),FALSE())),"")</f>
        <v/>
      </c>
      <c r="T7" s="18" t="str">
        <f aca="false">IFERROR(IF(VLOOKUP($D7,'Raw Data'!$B:$DE,VLOOKUP('Non-SWB CaseList'!T$6,'Non-SWB Lists'!$A$1:$C$39,3,FALSE()),FALSE())=0,"",VLOOKUP($D7,'Raw Data'!$B:$DE,VLOOKUP('Non-SWB CaseList'!T$6,'Non-SWB Lists'!$A$1:$C$39,3,FALSE()),FALSE())),"")</f>
        <v/>
      </c>
      <c r="U7" s="18" t="str">
        <f aca="false">IFERROR(IF(VLOOKUP($D7,'Raw Data'!$B:$DE,VLOOKUP('Non-SWB CaseList'!U$6,'Non-SWB Lists'!$A$1:$C$39,3,FALSE()),FALSE())=0,"",VLOOKUP($D7,'Raw Data'!$B:$DE,VLOOKUP('Non-SWB CaseList'!U$6,'Non-SWB Lists'!$A$1:$C$39,3,FALSE()),FALSE())),"")</f>
        <v/>
      </c>
      <c r="V7" s="18" t="str">
        <f aca="false">IFERROR(IF(VLOOKUP($D7,'Raw Data'!$B:$DE,VLOOKUP('Non-SWB CaseList'!V$6,'Non-SWB Lists'!$A$1:$C$39,3,FALSE()),FALSE())=0,"",VLOOKUP($D7,'Raw Data'!$B:$DE,VLOOKUP('Non-SWB CaseList'!V$6,'Non-SWB Lists'!$A$1:$C$39,3,FALSE()),FALSE())),"")</f>
        <v/>
      </c>
      <c r="W7" s="18" t="str">
        <f aca="false">IFERROR(IF(VLOOKUP($D7,'Raw Data'!$B:$DE,VLOOKUP('Non-SWB CaseList'!W$6,'Non-SWB Lists'!$A$1:$C$39,3,FALSE()),FALSE())=0,"",VLOOKUP($D7,'Raw Data'!$B:$DE,VLOOKUP('Non-SWB CaseList'!W$6,'Non-SWB Lists'!$A$1:$C$39,3,FALSE()),FALSE())),"")</f>
        <v/>
      </c>
      <c r="X7" s="18" t="str">
        <f aca="false">IFERROR(IF(VLOOKUP($D7,'Raw Data'!$B:$DE,VLOOKUP('Non-SWB CaseList'!X$6,'Non-SWB Lists'!$A$1:$C$39,3,FALSE()),FALSE())=0,"",VLOOKUP($D7,'Raw Data'!$B:$DE,VLOOKUP('Non-SWB CaseList'!X$6,'Non-SWB Lists'!$A$1:$C$39,3,FALSE()),FALSE())),"")</f>
        <v/>
      </c>
      <c r="Y7" s="18" t="str">
        <f aca="false">IFERROR(IF(VLOOKUP($D7,'Raw Data'!$B:$DE,VLOOKUP('Non-SWB CaseList'!Y$6,'Non-SWB Lists'!$A$1:$C$39,3,FALSE()),FALSE())=0,"",VLOOKUP($D7,'Raw Data'!$B:$DE,VLOOKUP('Non-SWB CaseList'!Y$6,'Non-SWB Lists'!$A$1:$C$39,3,FALSE()),FALSE())),"")</f>
        <v/>
      </c>
      <c r="Z7" s="18" t="str">
        <f aca="false">IFERROR(IF(VLOOKUP($D7,'Raw Data'!$B:$DE,VLOOKUP('Non-SWB CaseList'!Z$6,'Non-SWB Lists'!$A$1:$C$39,3,FALSE()),FALSE())=0,"",VLOOKUP($D7,'Raw Data'!$B:$DE,VLOOKUP('Non-SWB CaseList'!Z$6,'Non-SWB Lists'!$A$1:$C$39,3,FALSE()),FALSE())),"")</f>
        <v/>
      </c>
      <c r="AA7" s="18" t="str">
        <f aca="false">IFERROR(IF(VLOOKUP($D7,'Raw Data'!$B:$DE,VLOOKUP('Non-SWB CaseList'!AA$6,'Non-SWB Lists'!$A$1:$C$39,3,FALSE()),FALSE())=0,"",VLOOKUP($D7,'Raw Data'!$B:$DE,VLOOKUP('Non-SWB CaseList'!AA$6,'Non-SWB Lists'!$A$1:$C$39,3,FALSE()),FALSE())),"")</f>
        <v/>
      </c>
      <c r="AB7" s="18" t="str">
        <f aca="false">IFERROR(IF(VLOOKUP($D7,'Raw Data'!$B:$DE,VLOOKUP('Non-SWB CaseList'!AB$6,'Non-SWB Lists'!$A$1:$C$39,3,FALSE()),FALSE())=0,"",VLOOKUP($D7,'Raw Data'!$B:$DE,VLOOKUP('Non-SWB CaseList'!AB$6,'Non-SWB Lists'!$A$1:$C$39,3,FALSE()),FALSE())),"")</f>
        <v/>
      </c>
      <c r="AC7" s="18" t="str">
        <f aca="false">IFERROR(IF(VLOOKUP($D7,'Raw Data'!$B:$DE,VLOOKUP('Non-SWB CaseList'!AC$6,'Non-SWB Lists'!$A$1:$C$39,3,FALSE()),FALSE())=0,"",VLOOKUP($D7,'Raw Data'!$B:$DE,VLOOKUP('Non-SWB CaseList'!AC$6,'Non-SWB Lists'!$A$1:$C$39,3,FALSE()),FALSE())),"")</f>
        <v/>
      </c>
      <c r="AD7" s="18" t="str">
        <f aca="false">IFERROR(IF(VLOOKUP($D7,'Raw Data'!$B:$DE,VLOOKUP('Non-SWB CaseList'!AD$6,'Non-SWB Lists'!$A$1:$C$39,3,FALSE()),FALSE())=0,"",VLOOKUP($D7,'Raw Data'!$B:$DE,VLOOKUP('Non-SWB CaseList'!AD$6,'Non-SWB Lists'!$A$1:$C$39,3,FALSE()),FALSE())),"")</f>
        <v/>
      </c>
      <c r="AE7" s="18" t="str">
        <f aca="false">IFERROR(IF(VLOOKUP($D7,'Raw Data'!$B:$DE,VLOOKUP('Non-SWB CaseList'!AE$6,'Non-SWB Lists'!$A$1:$C$39,3,FALSE()),FALSE())=0,"",VLOOKUP($D7,'Raw Data'!$B:$DE,VLOOKUP('Non-SWB CaseList'!AE$6,'Non-SWB Lists'!$A$1:$C$39,3,FALSE()),FALSE())),"")</f>
        <v/>
      </c>
      <c r="AF7" s="18" t="str">
        <f aca="false">IFERROR(IF(VLOOKUP($D7,'Raw Data'!$B:$DE,VLOOKUP('Non-SWB CaseList'!AF$6,'Non-SWB Lists'!$A$1:$C$39,3,FALSE()),FALSE())=0,"",VLOOKUP($D7,'Raw Data'!$B:$DE,VLOOKUP('Non-SWB CaseList'!AF$6,'Non-SWB Lists'!$A$1:$C$39,3,FALSE()),FALSE())),"")</f>
        <v/>
      </c>
      <c r="AG7" s="18" t="str">
        <f aca="false">IFERROR(IF(VLOOKUP($D7,'Raw Data'!$B:$DE,VLOOKUP('Non-SWB CaseList'!AG$6,'Non-SWB Lists'!$A$1:$C$39,3,FALSE()),FALSE())=0,"",VLOOKUP($D7,'Raw Data'!$B:$DE,VLOOKUP('Non-SWB CaseList'!AG$6,'Non-SWB Lists'!$A$1:$C$39,3,FALSE()),FALSE())),"")</f>
        <v/>
      </c>
      <c r="AH7" s="18" t="str">
        <f aca="false">IFERROR(IF(VLOOKUP($D7,'Raw Data'!$B:$DE,VLOOKUP('Non-SWB CaseList'!AH$6,'Non-SWB Lists'!$A$1:$C$39,3,FALSE()),FALSE())=0,"",VLOOKUP($D7,'Raw Data'!$B:$DE,VLOOKUP('Non-SWB CaseList'!AH$6,'Non-SWB Lists'!$A$1:$C$39,3,FALSE()),FALSE())),"")</f>
        <v/>
      </c>
      <c r="AI7" s="18" t="str">
        <f aca="false">IFERROR(IF(VLOOKUP($D7,'Raw Data'!$B:$DE,VLOOKUP('Non-SWB CaseList'!AI$6,'Non-SWB Lists'!$A$1:$C$39,3,FALSE()),FALSE())=0,"",VLOOKUP($D7,'Raw Data'!$B:$DE,VLOOKUP('Non-SWB CaseList'!AI$6,'Non-SWB Lists'!$A$1:$C$39,3,FALSE()),FALSE())),"")</f>
        <v/>
      </c>
      <c r="AJ7" s="18" t="str">
        <f aca="false">IFERROR(IF(VLOOKUP($D7,'Raw Data'!$B:$DE,VLOOKUP('Non-SWB CaseList'!AJ$6,'Non-SWB Lists'!$A$1:$C$39,3,FALSE()),FALSE())=0,"",VLOOKUP($D7,'Raw Data'!$B:$DE,VLOOKUP('Non-SWB CaseList'!AJ$6,'Non-SWB Lists'!$A$1:$C$39,3,FALSE()),FALSE())),"")</f>
        <v/>
      </c>
      <c r="AK7" s="18" t="str">
        <f aca="false">IFERROR(IF(VLOOKUP($D7,'Raw Data'!$B:$DE,VLOOKUP('Non-SWB CaseList'!AK$6,'Non-SWB Lists'!$A$1:$C$39,3,FALSE()),FALSE())=0,"",VLOOKUP($D7,'Raw Data'!$B:$DE,VLOOKUP('Non-SWB CaseList'!AK$6,'Non-SWB Lists'!$A$1:$C$39,3,FALSE()),FALSE())),"")</f>
        <v/>
      </c>
      <c r="AL7" s="18" t="str">
        <f aca="false">IFERROR(IF(VLOOKUP($D7,'Raw Data'!$B:$DE,VLOOKUP('Non-SWB CaseList'!AL$6,'Non-SWB Lists'!$A$1:$C$39,3,FALSE()),FALSE())=0,"",VLOOKUP($D7,'Raw Data'!$B:$DE,VLOOKUP('Non-SWB CaseList'!AL$6,'Non-SWB Lists'!$A$1:$C$39,3,FALSE()),FALSE())),"")</f>
        <v/>
      </c>
      <c r="AM7" s="18" t="str">
        <f aca="false">IFERROR(IF(VLOOKUP($D7,'Raw Data'!$B:$DE,VLOOKUP('Non-SWB CaseList'!AM$6,'Non-SWB Lists'!$A$1:$C$39,3,FALSE()),FALSE())=0,"",VLOOKUP($D7,'Raw Data'!$B:$DE,VLOOKUP('Non-SWB CaseList'!AM$6,'Non-SWB Lists'!$A$1:$C$39,3,FALSE()),FALSE())),"")</f>
        <v/>
      </c>
      <c r="AN7" s="18" t="str">
        <f aca="false">IFERROR(IF(VLOOKUP($D7,'Raw Data'!$B:$DE,VLOOKUP('Non-SWB CaseList'!AN$6,'Non-SWB Lists'!$A$1:$C$39,3,FALSE()),FALSE())=0,"NA",VLOOKUP($D7,'Raw Data'!$B:$DE,VLOOKUP('Non-SWB CaseList'!AN$6,'Non-SWB Lists'!$A$1:$C$39,3,FALSE()),FALSE())),"NA")</f>
        <v>NA</v>
      </c>
      <c r="AO7" s="18" t="str">
        <f aca="false">IFERROR(IF(VLOOKUP($D7,'Raw Data'!$B:$DE,VLOOKUP('Non-SWB CaseList'!AO$6,'Non-SWB Lists'!$A$1:$C$39,3,FALSE()),FALSE())=0,"",VLOOKUP($D7,'Raw Data'!$B:$DE,VLOOKUP('Non-SWB CaseList'!AO$6,'Non-SWB Lists'!$A$1:$C$39,3,FALSE()),FALSE())),"")</f>
        <v/>
      </c>
      <c r="AP7" s="18" t="str">
        <f aca="false">IFERROR(IF(VLOOKUP($D7,'Raw Data'!$B:$DE,VLOOKUP('Non-SWB CaseList'!AP$6,'Non-SWB Lists'!$A$1:$C$39,3,FALSE()),FALSE())=0,"",VLOOKUP($D7,'Raw Data'!$B:$DE,VLOOKUP('Non-SWB CaseList'!AP$6,'Non-SWB Lists'!$A$1:$C$39,3,FALSE()),FALSE())),"")</f>
        <v/>
      </c>
      <c r="AQ7" s="18" t="str">
        <f aca="false">IFERROR(IF(VLOOKUP($D7,'Raw Data'!$B:$DE,VLOOKUP('Non-SWB CaseList'!AQ$6,'Non-SWB Lists'!$A$1:$C$39,3,FALSE()),FALSE())=0,"",VLOOKUP($D7,'Raw Data'!$B:$DE,VLOOKUP('Non-SWB CaseList'!AQ$6,'Non-SWB Lists'!$A$1:$C$39,3,FALSE()),FALSE())),"")</f>
        <v/>
      </c>
      <c r="AR7" s="18" t="str">
        <f aca="false">IFERROR(IF(VLOOKUP($D7,'Raw Data'!$B:$DE,VLOOKUP('Non-SWB CaseList'!AR$6,'Non-SWB Lists'!$A$1:$C$39,3,FALSE()),FALSE())=0,"",VLOOKUP($D7,'Raw Data'!$B:$DE,VLOOKUP('Non-SWB CaseList'!AR$6,'Non-SWB Lists'!$A$1:$C$39,3,FALSE()),FALSE())),"")</f>
        <v/>
      </c>
      <c r="AS7" s="1" t="str">
        <f aca="false">IF($D7="","",IF(OR($J7="",$J7="NA"),"Sin datos",IF(OR(ISNUMBER(SEARCH("Chihuahua",$J7)),ISNUMBER(SEARCH("Coahuila",$J7)),ISNUMBER(SEARCH("Baja California Norte",$J7)),ISNUMBER(SEARCH("Nuevo Leon",$J7)),ISNUMBER(SEARCH("Nuevo León",$J7)),ISNUMBER(SEARCH("Tamaulipas",$J7)),ISNUMBER(SEARCH("Sonora",$J7))),"Revisar: State SI es Frontera","OK - No Frontera")))</f>
        <v>Sin datos</v>
      </c>
      <c r="AT7" s="19" t="n">
        <v>10000000205984</v>
      </c>
    </row>
    <row r="8" customFormat="false" ht="14.25" hidden="false" customHeight="true" outlineLevel="0" collapsed="false">
      <c r="A8" s="20"/>
      <c r="B8" s="14" t="s">
        <v>46</v>
      </c>
      <c r="C8" s="14" t="s">
        <v>47</v>
      </c>
      <c r="D8" s="21" t="n">
        <v>12388158</v>
      </c>
      <c r="E8" s="22" t="str">
        <f aca="false">IFERROR(IF(VLOOKUP($D8,'Raw Data'!$B:$DE,VLOOKUP('Non-SWB CaseList'!E$6,'Non-SWB Lists'!$A$1:$C$39,3,FALSE()),FALSE())=0,"",VLOOKUP($D8,'Raw Data'!$B:$DE,VLOOKUP('Non-SWB CaseList'!E$6,'Non-SWB Lists'!$A$1:$C$39,3,FALSE()),FALSE())),"")</f>
        <v/>
      </c>
      <c r="F8" s="14" t="s">
        <v>48</v>
      </c>
      <c r="G8" s="23" t="str">
        <f aca="false">IFERROR(IF(VLOOKUP($D8,'Raw Data'!$B:$DE,VLOOKUP('Non-SWB CaseList'!G$6,'Non-SWB Lists'!$A$1:$C$39,3,FALSE()),FALSE())=0,"",VLOOKUP($D8,'Raw Data'!$B:$DE,VLOOKUP('Non-SWB CaseList'!G$6,'Non-SWB Lists'!$A$1:$C$39,3,FALSE()),FALSE())),"")</f>
        <v/>
      </c>
      <c r="H8" s="23" t="str">
        <f aca="false">IFERROR(IF(VLOOKUP($D8,'Raw Data'!$B:$DE,VLOOKUP('Non-SWB CaseList'!H$6,'Non-SWB Lists'!$A$1:$C$39,3,FALSE()),FALSE())=0,"",VLOOKUP($D8,'Raw Data'!$B:$DE,VLOOKUP('Non-SWB CaseList'!H$6,'Non-SWB Lists'!$A$1:$C$39,3,FALSE()),FALSE())),"")</f>
        <v/>
      </c>
      <c r="I8" s="23" t="str">
        <f aca="false">IFERROR(IF(VLOOKUP($D8,'Raw Data'!$B:$DE,VLOOKUP('Non-SWB CaseList'!I$6,'Non-SWB Lists'!$A$1:$C$39,3,FALSE()),FALSE())=0,"",VLOOKUP($D8,'Raw Data'!$B:$DE,VLOOKUP('Non-SWB CaseList'!I$6,'Non-SWB Lists'!$A$1:$C$39,3,FALSE()),FALSE())),"")</f>
        <v/>
      </c>
      <c r="J8" s="23" t="str">
        <f aca="false">IFERROR(IF(VLOOKUP($D8,'Raw Data'!$B:$DE,VLOOKUP('Non-SWB CaseList'!J$6,'Non-SWB Lists'!$A$1:$C$39,3,FALSE()),FALSE())=0,"",VLOOKUP($D8,'Raw Data'!$B:$DE,VLOOKUP('Non-SWB CaseList'!J$6,'Non-SWB Lists'!$A$1:$C$39,3,FALSE()),FALSE())),"")</f>
        <v/>
      </c>
      <c r="K8" s="23" t="str">
        <f aca="false">IFERROR(IF(VLOOKUP($D8,'Raw Data'!$B:$DE,VLOOKUP('Non-SWB CaseList'!K$6,'Non-SWB Lists'!$A$1:$C$39,3,FALSE()),FALSE())=0,"",VLOOKUP($D8,'Raw Data'!$B:$DE,VLOOKUP('Non-SWB CaseList'!K$6,'Non-SWB Lists'!$A$1:$C$39,3,FALSE()),FALSE())),"")</f>
        <v/>
      </c>
      <c r="L8" s="23" t="str">
        <f aca="false">IFERROR(IF(VLOOKUP($D8,'Raw Data'!$B:$DE,VLOOKUP('Non-SWB CaseList'!L$6,'Non-SWB Lists'!$A$1:$C$39,3,FALSE()),FALSE())=0,"",VLOOKUP($D8,'Raw Data'!$B:$DE,VLOOKUP('Non-SWB CaseList'!L$6,'Non-SWB Lists'!$A$1:$C$39,3,FALSE()),FALSE())),"")</f>
        <v/>
      </c>
      <c r="M8" s="23" t="str">
        <f aca="false">IFERROR(IF(VLOOKUP($D8,'Raw Data'!$B:$DE,VLOOKUP('Non-SWB CaseList'!M$6,'Non-SWB Lists'!$A$1:$C$39,3,FALSE()),FALSE())=0,"",VLOOKUP($D8,'Raw Data'!$B:$DE,VLOOKUP('Non-SWB CaseList'!M$6,'Non-SWB Lists'!$A$1:$C$39,3,FALSE()),FALSE())),"")</f>
        <v/>
      </c>
      <c r="N8" s="23" t="str">
        <f aca="false">IFERROR(IF(VLOOKUP($D8,'Raw Data'!$B:$DE,VLOOKUP('Non-SWB CaseList'!N$6,'Non-SWB Lists'!$A$1:$C$39,3,FALSE()),FALSE())=0,"",VLOOKUP($D8,'Raw Data'!$B:$DE,VLOOKUP('Non-SWB CaseList'!N$6,'Non-SWB Lists'!$A$1:$C$39,3,FALSE()),FALSE())),"")</f>
        <v/>
      </c>
      <c r="O8" s="24" t="str">
        <f aca="false">IFERROR(IF(VLOOKUP($D8,'Raw Data'!$B:$DE,VLOOKUP('Non-SWB CaseList'!O$6,'Non-SWB Lists'!$A$1:$C$39,3,FALSE()),FALSE())=0,"",VLOOKUP($D8,'Raw Data'!$B:$DE,VLOOKUP('Non-SWB CaseList'!O$6,'Non-SWB Lists'!$A$1:$C$39,3,FALSE()),FALSE())),"")</f>
        <v/>
      </c>
      <c r="P8" s="24" t="str">
        <f aca="false">IFERROR(IF(VLOOKUP($D8,'Raw Data'!$B:$DE,VLOOKUP('Non-SWB CaseList'!P$6,'Non-SWB Lists'!$A$1:$C$39,3,FALSE()),FALSE())=0,"",VLOOKUP($D8,'Raw Data'!$B:$DE,VLOOKUP('Non-SWB CaseList'!P$6,'Non-SWB Lists'!$A$1:$C$39,3,FALSE()),FALSE())),"")</f>
        <v/>
      </c>
      <c r="Q8" s="24" t="str">
        <f aca="false">IFERROR(IF(VLOOKUP($D8,'Raw Data'!$B:$DE,VLOOKUP('Non-SWB CaseList'!Q$6,'Non-SWB Lists'!$A$1:$C$39,3,FALSE()),FALSE())=0,"",VLOOKUP($D8,'Raw Data'!$B:$DE,VLOOKUP('Non-SWB CaseList'!Q$6,'Non-SWB Lists'!$A$1:$C$39,3,FALSE()),FALSE())),"")</f>
        <v/>
      </c>
      <c r="R8" s="24" t="str">
        <f aca="false">IFERROR(IF(VLOOKUP($D8,'Raw Data'!$B:$DE,VLOOKUP('Non-SWB CaseList'!R$6,'Non-SWB Lists'!$A$1:$C$39,3,FALSE()),FALSE())=0,"",VLOOKUP($D8,'Raw Data'!$B:$DE,VLOOKUP('Non-SWB CaseList'!R$6,'Non-SWB Lists'!$A$1:$C$39,3,FALSE()),FALSE())),"")</f>
        <v/>
      </c>
      <c r="S8" s="24" t="str">
        <f aca="false">IFERROR(IF(VLOOKUP($D8,'Raw Data'!$B:$DE,VLOOKUP('Non-SWB CaseList'!S$6,'Non-SWB Lists'!$A$1:$C$39,3,FALSE()),FALSE())=0,"",VLOOKUP($D8,'Raw Data'!$B:$DE,VLOOKUP('Non-SWB CaseList'!S$6,'Non-SWB Lists'!$A$1:$C$39,3,FALSE()),FALSE())),"")</f>
        <v/>
      </c>
      <c r="T8" s="24" t="str">
        <f aca="false">IFERROR(IF(VLOOKUP($D8,'Raw Data'!$B:$DE,VLOOKUP('Non-SWB CaseList'!T$6,'Non-SWB Lists'!$A$1:$C$39,3,FALSE()),FALSE())=0,"",VLOOKUP($D8,'Raw Data'!$B:$DE,VLOOKUP('Non-SWB CaseList'!T$6,'Non-SWB Lists'!$A$1:$C$39,3,FALSE()),FALSE())),"")</f>
        <v/>
      </c>
      <c r="U8" s="24" t="str">
        <f aca="false">IFERROR(IF(VLOOKUP($D8,'Raw Data'!$B:$DE,VLOOKUP('Non-SWB CaseList'!U$6,'Non-SWB Lists'!$A$1:$C$39,3,FALSE()),FALSE())=0,"",VLOOKUP($D8,'Raw Data'!$B:$DE,VLOOKUP('Non-SWB CaseList'!U$6,'Non-SWB Lists'!$A$1:$C$39,3,FALSE()),FALSE())),"")</f>
        <v/>
      </c>
      <c r="V8" s="24" t="str">
        <f aca="false">IFERROR(IF(VLOOKUP($D8,'Raw Data'!$B:$DE,VLOOKUP('Non-SWB CaseList'!V$6,'Non-SWB Lists'!$A$1:$C$39,3,FALSE()),FALSE())=0,"",VLOOKUP($D8,'Raw Data'!$B:$DE,VLOOKUP('Non-SWB CaseList'!V$6,'Non-SWB Lists'!$A$1:$C$39,3,FALSE()),FALSE())),"")</f>
        <v/>
      </c>
      <c r="W8" s="24" t="str">
        <f aca="false">IFERROR(IF(VLOOKUP($D8,'Raw Data'!$B:$DE,VLOOKUP('Non-SWB CaseList'!W$6,'Non-SWB Lists'!$A$1:$C$39,3,FALSE()),FALSE())=0,"",VLOOKUP($D8,'Raw Data'!$B:$DE,VLOOKUP('Non-SWB CaseList'!W$6,'Non-SWB Lists'!$A$1:$C$39,3,FALSE()),FALSE())),"")</f>
        <v/>
      </c>
      <c r="X8" s="24" t="str">
        <f aca="false">IFERROR(IF(VLOOKUP($D8,'Raw Data'!$B:$DE,VLOOKUP('Non-SWB CaseList'!X$6,'Non-SWB Lists'!$A$1:$C$39,3,FALSE()),FALSE())=0,"",VLOOKUP($D8,'Raw Data'!$B:$DE,VLOOKUP('Non-SWB CaseList'!X$6,'Non-SWB Lists'!$A$1:$C$39,3,FALSE()),FALSE())),"")</f>
        <v/>
      </c>
      <c r="Y8" s="24" t="str">
        <f aca="false">IFERROR(IF(VLOOKUP($D8,'Raw Data'!$B:$DE,VLOOKUP('Non-SWB CaseList'!Y$6,'Non-SWB Lists'!$A$1:$C$39,3,FALSE()),FALSE())=0,"",VLOOKUP($D8,'Raw Data'!$B:$DE,VLOOKUP('Non-SWB CaseList'!Y$6,'Non-SWB Lists'!$A$1:$C$39,3,FALSE()),FALSE())),"")</f>
        <v/>
      </c>
      <c r="Z8" s="24" t="str">
        <f aca="false">IFERROR(IF(VLOOKUP($D8,'Raw Data'!$B:$DE,VLOOKUP('Non-SWB CaseList'!Z$6,'Non-SWB Lists'!$A$1:$C$39,3,FALSE()),FALSE())=0,"",VLOOKUP($D8,'Raw Data'!$B:$DE,VLOOKUP('Non-SWB CaseList'!Z$6,'Non-SWB Lists'!$A$1:$C$39,3,FALSE()),FALSE())),"")</f>
        <v/>
      </c>
      <c r="AA8" s="24" t="str">
        <f aca="false">IFERROR(IF(VLOOKUP($D8,'Raw Data'!$B:$DE,VLOOKUP('Non-SWB CaseList'!AA$6,'Non-SWB Lists'!$A$1:$C$39,3,FALSE()),FALSE())=0,"",VLOOKUP($D8,'Raw Data'!$B:$DE,VLOOKUP('Non-SWB CaseList'!AA$6,'Non-SWB Lists'!$A$1:$C$39,3,FALSE()),FALSE())),"")</f>
        <v/>
      </c>
      <c r="AB8" s="24" t="str">
        <f aca="false">IFERROR(IF(VLOOKUP($D8,'Raw Data'!$B:$DE,VLOOKUP('Non-SWB CaseList'!AB$6,'Non-SWB Lists'!$A$1:$C$39,3,FALSE()),FALSE())=0,"",VLOOKUP($D8,'Raw Data'!$B:$DE,VLOOKUP('Non-SWB CaseList'!AB$6,'Non-SWB Lists'!$A$1:$C$39,3,FALSE()),FALSE())),"")</f>
        <v/>
      </c>
      <c r="AC8" s="24" t="str">
        <f aca="false">IFERROR(IF(VLOOKUP($D8,'Raw Data'!$B:$DE,VLOOKUP('Non-SWB CaseList'!AC$6,'Non-SWB Lists'!$A$1:$C$39,3,FALSE()),FALSE())=0,"",VLOOKUP($D8,'Raw Data'!$B:$DE,VLOOKUP('Non-SWB CaseList'!AC$6,'Non-SWB Lists'!$A$1:$C$39,3,FALSE()),FALSE())),"")</f>
        <v/>
      </c>
      <c r="AD8" s="24" t="str">
        <f aca="false">IFERROR(IF(VLOOKUP($D8,'Raw Data'!$B:$DE,VLOOKUP('Non-SWB CaseList'!AD$6,'Non-SWB Lists'!$A$1:$C$39,3,FALSE()),FALSE())=0,"",VLOOKUP($D8,'Raw Data'!$B:$DE,VLOOKUP('Non-SWB CaseList'!AD$6,'Non-SWB Lists'!$A$1:$C$39,3,FALSE()),FALSE())),"")</f>
        <v/>
      </c>
      <c r="AE8" s="24" t="str">
        <f aca="false">IFERROR(IF(VLOOKUP($D8,'Raw Data'!$B:$DE,VLOOKUP('Non-SWB CaseList'!AE$6,'Non-SWB Lists'!$A$1:$C$39,3,FALSE()),FALSE())=0,"",VLOOKUP($D8,'Raw Data'!$B:$DE,VLOOKUP('Non-SWB CaseList'!AE$6,'Non-SWB Lists'!$A$1:$C$39,3,FALSE()),FALSE())),"")</f>
        <v/>
      </c>
      <c r="AF8" s="24" t="str">
        <f aca="false">IFERROR(IF(VLOOKUP($D8,'Raw Data'!$B:$DE,VLOOKUP('Non-SWB CaseList'!AF$6,'Non-SWB Lists'!$A$1:$C$39,3,FALSE()),FALSE())=0,"",VLOOKUP($D8,'Raw Data'!$B:$DE,VLOOKUP('Non-SWB CaseList'!AF$6,'Non-SWB Lists'!$A$1:$C$39,3,FALSE()),FALSE())),"")</f>
        <v/>
      </c>
      <c r="AG8" s="24" t="str">
        <f aca="false">IFERROR(IF(VLOOKUP($D8,'Raw Data'!$B:$DE,VLOOKUP('Non-SWB CaseList'!AG$6,'Non-SWB Lists'!$A$1:$C$39,3,FALSE()),FALSE())=0,"",VLOOKUP($D8,'Raw Data'!$B:$DE,VLOOKUP('Non-SWB CaseList'!AG$6,'Non-SWB Lists'!$A$1:$C$39,3,FALSE()),FALSE())),"")</f>
        <v/>
      </c>
      <c r="AH8" s="24" t="str">
        <f aca="false">IFERROR(IF(VLOOKUP($D8,'Raw Data'!$B:$DE,VLOOKUP('Non-SWB CaseList'!AH$6,'Non-SWB Lists'!$A$1:$C$39,3,FALSE()),FALSE())=0,"",VLOOKUP($D8,'Raw Data'!$B:$DE,VLOOKUP('Non-SWB CaseList'!AH$6,'Non-SWB Lists'!$A$1:$C$39,3,FALSE()),FALSE())),"")</f>
        <v/>
      </c>
      <c r="AI8" s="24" t="str">
        <f aca="false">IFERROR(IF(VLOOKUP($D8,'Raw Data'!$B:$DE,VLOOKUP('Non-SWB CaseList'!AI$6,'Non-SWB Lists'!$A$1:$C$39,3,FALSE()),FALSE())=0,"",VLOOKUP($D8,'Raw Data'!$B:$DE,VLOOKUP('Non-SWB CaseList'!AI$6,'Non-SWB Lists'!$A$1:$C$39,3,FALSE()),FALSE())),"")</f>
        <v/>
      </c>
      <c r="AJ8" s="24" t="str">
        <f aca="false">IFERROR(IF(VLOOKUP($D8,'Raw Data'!$B:$DE,VLOOKUP('Non-SWB CaseList'!AJ$6,'Non-SWB Lists'!$A$1:$C$39,3,FALSE()),FALSE())=0,"",VLOOKUP($D8,'Raw Data'!$B:$DE,VLOOKUP('Non-SWB CaseList'!AJ$6,'Non-SWB Lists'!$A$1:$C$39,3,FALSE()),FALSE())),"")</f>
        <v/>
      </c>
      <c r="AK8" s="24" t="str">
        <f aca="false">IFERROR(IF(VLOOKUP($D8,'Raw Data'!$B:$DE,VLOOKUP('Non-SWB CaseList'!AK$6,'Non-SWB Lists'!$A$1:$C$39,3,FALSE()),FALSE())=0,"",VLOOKUP($D8,'Raw Data'!$B:$DE,VLOOKUP('Non-SWB CaseList'!AK$6,'Non-SWB Lists'!$A$1:$C$39,3,FALSE()),FALSE())),"")</f>
        <v/>
      </c>
      <c r="AL8" s="24" t="str">
        <f aca="false">IFERROR(IF(VLOOKUP($D8,'Raw Data'!$B:$DE,VLOOKUP('Non-SWB CaseList'!AL$6,'Non-SWB Lists'!$A$1:$C$39,3,FALSE()),FALSE())=0,"",VLOOKUP($D8,'Raw Data'!$B:$DE,VLOOKUP('Non-SWB CaseList'!AL$6,'Non-SWB Lists'!$A$1:$C$39,3,FALSE()),FALSE())),"")</f>
        <v/>
      </c>
      <c r="AM8" s="24" t="str">
        <f aca="false">IFERROR(IF(VLOOKUP($D8,'Raw Data'!$B:$DE,VLOOKUP('Non-SWB CaseList'!AM$6,'Non-SWB Lists'!$A$1:$C$39,3,FALSE()),FALSE())=0,"",VLOOKUP($D8,'Raw Data'!$B:$DE,VLOOKUP('Non-SWB CaseList'!AM$6,'Non-SWB Lists'!$A$1:$C$39,3,FALSE()),FALSE())),"")</f>
        <v/>
      </c>
      <c r="AN8" s="24" t="str">
        <f aca="false">IFERROR(IF(VLOOKUP($D8,'Raw Data'!$B:$DE,VLOOKUP('Non-SWB CaseList'!AN$6,'Non-SWB Lists'!$A$1:$C$39,3,FALSE()),FALSE())=0,"NA",VLOOKUP($D8,'Raw Data'!$B:$DE,VLOOKUP('Non-SWB CaseList'!AN$6,'Non-SWB Lists'!$A$1:$C$39,3,FALSE()),FALSE())),"NA")</f>
        <v>NA</v>
      </c>
      <c r="AO8" s="24" t="str">
        <f aca="false">IFERROR(IF(VLOOKUP($D8,'Raw Data'!$B:$DE,VLOOKUP('Non-SWB CaseList'!AO$6,'Non-SWB Lists'!$A$1:$C$39,3,FALSE()),FALSE())=0,"",VLOOKUP($D8,'Raw Data'!$B:$DE,VLOOKUP('Non-SWB CaseList'!AO$6,'Non-SWB Lists'!$A$1:$C$39,3,FALSE()),FALSE())),"")</f>
        <v/>
      </c>
      <c r="AP8" s="24" t="str">
        <f aca="false">IFERROR(IF(VLOOKUP($D8,'Raw Data'!$B:$DE,VLOOKUP('Non-SWB CaseList'!AP$6,'Non-SWB Lists'!$A$1:$C$39,3,FALSE()),FALSE())=0,"",VLOOKUP($D8,'Raw Data'!$B:$DE,VLOOKUP('Non-SWB CaseList'!AP$6,'Non-SWB Lists'!$A$1:$C$39,3,FALSE()),FALSE())),"")</f>
        <v/>
      </c>
      <c r="AQ8" s="24" t="str">
        <f aca="false">IFERROR(IF(VLOOKUP($D8,'Raw Data'!$B:$DE,VLOOKUP('Non-SWB CaseList'!AQ$6,'Non-SWB Lists'!$A$1:$C$39,3,FALSE()),FALSE())=0,"",VLOOKUP($D8,'Raw Data'!$B:$DE,VLOOKUP('Non-SWB CaseList'!AQ$6,'Non-SWB Lists'!$A$1:$C$39,3,FALSE()),FALSE())),"")</f>
        <v/>
      </c>
      <c r="AR8" s="24" t="str">
        <f aca="false">IFERROR(IF(VLOOKUP($D8,'Raw Data'!$B:$DE,VLOOKUP('Non-SWB CaseList'!AR$6,'Non-SWB Lists'!$A$1:$C$39,3,FALSE()),FALSE())=0,"",VLOOKUP($D8,'Raw Data'!$B:$DE,VLOOKUP('Non-SWB CaseList'!AR$6,'Non-SWB Lists'!$A$1:$C$39,3,FALSE()),FALSE())),"")</f>
        <v/>
      </c>
      <c r="AS8" s="1" t="str">
        <f aca="false">IF($D8="","",IF(OR($J8="",$J8="NA"),"Sin datos",IF(OR(ISNUMBER(SEARCH("Chihuahua",$J8)),ISNUMBER(SEARCH("Coahuila",$J8)),ISNUMBER(SEARCH("Baja California Norte",$J8)),ISNUMBER(SEARCH("Nuevo Leon",$J8)),ISNUMBER(SEARCH("Nuevo León",$J8)),ISNUMBER(SEARCH("Tamaulipas",$J8)),ISNUMBER(SEARCH("Sonora",$J8))),"Revisar: State SI es Frontera","OK - No Frontera")))</f>
        <v>Sin datos</v>
      </c>
      <c r="AT8" s="19" t="n">
        <v>10000000205975</v>
      </c>
    </row>
    <row r="9" customFormat="false" ht="14.25" hidden="false" customHeight="true" outlineLevel="0" collapsed="false">
      <c r="A9" s="20"/>
      <c r="B9" s="14" t="s">
        <v>46</v>
      </c>
      <c r="C9" s="14" t="s">
        <v>47</v>
      </c>
      <c r="D9" s="21" t="n">
        <v>12368333</v>
      </c>
      <c r="E9" s="22" t="str">
        <f aca="false">IFERROR(IF(VLOOKUP($D9,'Raw Data'!$B:$DE,VLOOKUP('Non-SWB CaseList'!E$6,'Non-SWB Lists'!$A$1:$C$39,3,FALSE()),FALSE())=0,"",VLOOKUP($D9,'Raw Data'!$B:$DE,VLOOKUP('Non-SWB CaseList'!E$6,'Non-SWB Lists'!$A$1:$C$39,3,FALSE()),FALSE())),"")</f>
        <v/>
      </c>
      <c r="F9" s="14" t="s">
        <v>48</v>
      </c>
      <c r="G9" s="23" t="str">
        <f aca="false">IFERROR(IF(VLOOKUP($D9,'Raw Data'!$B:$DE,VLOOKUP('Non-SWB CaseList'!G$6,'Non-SWB Lists'!$A$1:$C$39,3,FALSE()),FALSE())=0,"",VLOOKUP($D9,'Raw Data'!$B:$DE,VLOOKUP('Non-SWB CaseList'!G$6,'Non-SWB Lists'!$A$1:$C$39,3,FALSE()),FALSE())),"")</f>
        <v/>
      </c>
      <c r="H9" s="23" t="str">
        <f aca="false">IFERROR(IF(VLOOKUP($D9,'Raw Data'!$B:$DE,VLOOKUP('Non-SWB CaseList'!H$6,'Non-SWB Lists'!$A$1:$C$39,3,FALSE()),FALSE())=0,"",VLOOKUP($D9,'Raw Data'!$B:$DE,VLOOKUP('Non-SWB CaseList'!H$6,'Non-SWB Lists'!$A$1:$C$39,3,FALSE()),FALSE())),"")</f>
        <v/>
      </c>
      <c r="I9" s="23" t="str">
        <f aca="false">IFERROR(IF(VLOOKUP($D9,'Raw Data'!$B:$DE,VLOOKUP('Non-SWB CaseList'!I$6,'Non-SWB Lists'!$A$1:$C$39,3,FALSE()),FALSE())=0,"",VLOOKUP($D9,'Raw Data'!$B:$DE,VLOOKUP('Non-SWB CaseList'!I$6,'Non-SWB Lists'!$A$1:$C$39,3,FALSE()),FALSE())),"")</f>
        <v/>
      </c>
      <c r="J9" s="23" t="str">
        <f aca="false">IFERROR(IF(VLOOKUP($D9,'Raw Data'!$B:$DE,VLOOKUP('Non-SWB CaseList'!J$6,'Non-SWB Lists'!$A$1:$C$39,3,FALSE()),FALSE())=0,"",VLOOKUP($D9,'Raw Data'!$B:$DE,VLOOKUP('Non-SWB CaseList'!J$6,'Non-SWB Lists'!$A$1:$C$39,3,FALSE()),FALSE())),"")</f>
        <v/>
      </c>
      <c r="K9" s="23" t="str">
        <f aca="false">IFERROR(IF(VLOOKUP($D9,'Raw Data'!$B:$DE,VLOOKUP('Non-SWB CaseList'!K$6,'Non-SWB Lists'!$A$1:$C$39,3,FALSE()),FALSE())=0,"",VLOOKUP($D9,'Raw Data'!$B:$DE,VLOOKUP('Non-SWB CaseList'!K$6,'Non-SWB Lists'!$A$1:$C$39,3,FALSE()),FALSE())),"")</f>
        <v/>
      </c>
      <c r="L9" s="23" t="str">
        <f aca="false">IFERROR(IF(VLOOKUP($D9,'Raw Data'!$B:$DE,VLOOKUP('Non-SWB CaseList'!L$6,'Non-SWB Lists'!$A$1:$C$39,3,FALSE()),FALSE())=0,"",VLOOKUP($D9,'Raw Data'!$B:$DE,VLOOKUP('Non-SWB CaseList'!L$6,'Non-SWB Lists'!$A$1:$C$39,3,FALSE()),FALSE())),"")</f>
        <v/>
      </c>
      <c r="M9" s="23" t="str">
        <f aca="false">IFERROR(IF(VLOOKUP($D9,'Raw Data'!$B:$DE,VLOOKUP('Non-SWB CaseList'!M$6,'Non-SWB Lists'!$A$1:$C$39,3,FALSE()),FALSE())=0,"",VLOOKUP($D9,'Raw Data'!$B:$DE,VLOOKUP('Non-SWB CaseList'!M$6,'Non-SWB Lists'!$A$1:$C$39,3,FALSE()),FALSE())),"")</f>
        <v/>
      </c>
      <c r="N9" s="23" t="str">
        <f aca="false">IFERROR(IF(VLOOKUP($D9,'Raw Data'!$B:$DE,VLOOKUP('Non-SWB CaseList'!N$6,'Non-SWB Lists'!$A$1:$C$39,3,FALSE()),FALSE())=0,"",VLOOKUP($D9,'Raw Data'!$B:$DE,VLOOKUP('Non-SWB CaseList'!N$6,'Non-SWB Lists'!$A$1:$C$39,3,FALSE()),FALSE())),"")</f>
        <v/>
      </c>
      <c r="O9" s="24" t="str">
        <f aca="false">IFERROR(IF(VLOOKUP($D9,'Raw Data'!$B:$DE,VLOOKUP('Non-SWB CaseList'!O$6,'Non-SWB Lists'!$A$1:$C$39,3,FALSE()),FALSE())=0,"",VLOOKUP($D9,'Raw Data'!$B:$DE,VLOOKUP('Non-SWB CaseList'!O$6,'Non-SWB Lists'!$A$1:$C$39,3,FALSE()),FALSE())),"")</f>
        <v/>
      </c>
      <c r="P9" s="24" t="str">
        <f aca="false">IFERROR(IF(VLOOKUP($D9,'Raw Data'!$B:$DE,VLOOKUP('Non-SWB CaseList'!P$6,'Non-SWB Lists'!$A$1:$C$39,3,FALSE()),FALSE())=0,"",VLOOKUP($D9,'Raw Data'!$B:$DE,VLOOKUP('Non-SWB CaseList'!P$6,'Non-SWB Lists'!$A$1:$C$39,3,FALSE()),FALSE())),"")</f>
        <v/>
      </c>
      <c r="Q9" s="24" t="str">
        <f aca="false">IFERROR(IF(VLOOKUP($D9,'Raw Data'!$B:$DE,VLOOKUP('Non-SWB CaseList'!Q$6,'Non-SWB Lists'!$A$1:$C$39,3,FALSE()),FALSE())=0,"",VLOOKUP($D9,'Raw Data'!$B:$DE,VLOOKUP('Non-SWB CaseList'!Q$6,'Non-SWB Lists'!$A$1:$C$39,3,FALSE()),FALSE())),"")</f>
        <v/>
      </c>
      <c r="R9" s="24" t="str">
        <f aca="false">IFERROR(IF(VLOOKUP($D9,'Raw Data'!$B:$DE,VLOOKUP('Non-SWB CaseList'!R$6,'Non-SWB Lists'!$A$1:$C$39,3,FALSE()),FALSE())=0,"",VLOOKUP($D9,'Raw Data'!$B:$DE,VLOOKUP('Non-SWB CaseList'!R$6,'Non-SWB Lists'!$A$1:$C$39,3,FALSE()),FALSE())),"")</f>
        <v/>
      </c>
      <c r="S9" s="24" t="str">
        <f aca="false">IFERROR(IF(VLOOKUP($D9,'Raw Data'!$B:$DE,VLOOKUP('Non-SWB CaseList'!S$6,'Non-SWB Lists'!$A$1:$C$39,3,FALSE()),FALSE())=0,"",VLOOKUP($D9,'Raw Data'!$B:$DE,VLOOKUP('Non-SWB CaseList'!S$6,'Non-SWB Lists'!$A$1:$C$39,3,FALSE()),FALSE())),"")</f>
        <v/>
      </c>
      <c r="T9" s="24" t="str">
        <f aca="false">IFERROR(IF(VLOOKUP($D9,'Raw Data'!$B:$DE,VLOOKUP('Non-SWB CaseList'!T$6,'Non-SWB Lists'!$A$1:$C$39,3,FALSE()),FALSE())=0,"",VLOOKUP($D9,'Raw Data'!$B:$DE,VLOOKUP('Non-SWB CaseList'!T$6,'Non-SWB Lists'!$A$1:$C$39,3,FALSE()),FALSE())),"")</f>
        <v/>
      </c>
      <c r="U9" s="24" t="str">
        <f aca="false">IFERROR(IF(VLOOKUP($D9,'Raw Data'!$B:$DE,VLOOKUP('Non-SWB CaseList'!U$6,'Non-SWB Lists'!$A$1:$C$39,3,FALSE()),FALSE())=0,"",VLOOKUP($D9,'Raw Data'!$B:$DE,VLOOKUP('Non-SWB CaseList'!U$6,'Non-SWB Lists'!$A$1:$C$39,3,FALSE()),FALSE())),"")</f>
        <v/>
      </c>
      <c r="V9" s="24" t="str">
        <f aca="false">IFERROR(IF(VLOOKUP($D9,'Raw Data'!$B:$DE,VLOOKUP('Non-SWB CaseList'!V$6,'Non-SWB Lists'!$A$1:$C$39,3,FALSE()),FALSE())=0,"",VLOOKUP($D9,'Raw Data'!$B:$DE,VLOOKUP('Non-SWB CaseList'!V$6,'Non-SWB Lists'!$A$1:$C$39,3,FALSE()),FALSE())),"")</f>
        <v/>
      </c>
      <c r="W9" s="24" t="str">
        <f aca="false">IFERROR(IF(VLOOKUP($D9,'Raw Data'!$B:$DE,VLOOKUP('Non-SWB CaseList'!W$6,'Non-SWB Lists'!$A$1:$C$39,3,FALSE()),FALSE())=0,"",VLOOKUP($D9,'Raw Data'!$B:$DE,VLOOKUP('Non-SWB CaseList'!W$6,'Non-SWB Lists'!$A$1:$C$39,3,FALSE()),FALSE())),"")</f>
        <v/>
      </c>
      <c r="X9" s="24" t="str">
        <f aca="false">IFERROR(IF(VLOOKUP($D9,'Raw Data'!$B:$DE,VLOOKUP('Non-SWB CaseList'!X$6,'Non-SWB Lists'!$A$1:$C$39,3,FALSE()),FALSE())=0,"",VLOOKUP($D9,'Raw Data'!$B:$DE,VLOOKUP('Non-SWB CaseList'!X$6,'Non-SWB Lists'!$A$1:$C$39,3,FALSE()),FALSE())),"")</f>
        <v/>
      </c>
      <c r="Y9" s="24" t="str">
        <f aca="false">IFERROR(IF(VLOOKUP($D9,'Raw Data'!$B:$DE,VLOOKUP('Non-SWB CaseList'!Y$6,'Non-SWB Lists'!$A$1:$C$39,3,FALSE()),FALSE())=0,"",VLOOKUP($D9,'Raw Data'!$B:$DE,VLOOKUP('Non-SWB CaseList'!Y$6,'Non-SWB Lists'!$A$1:$C$39,3,FALSE()),FALSE())),"")</f>
        <v/>
      </c>
      <c r="Z9" s="24" t="str">
        <f aca="false">IFERROR(IF(VLOOKUP($D9,'Raw Data'!$B:$DE,VLOOKUP('Non-SWB CaseList'!Z$6,'Non-SWB Lists'!$A$1:$C$39,3,FALSE()),FALSE())=0,"",VLOOKUP($D9,'Raw Data'!$B:$DE,VLOOKUP('Non-SWB CaseList'!Z$6,'Non-SWB Lists'!$A$1:$C$39,3,FALSE()),FALSE())),"")</f>
        <v/>
      </c>
      <c r="AA9" s="24" t="str">
        <f aca="false">IFERROR(IF(VLOOKUP($D9,'Raw Data'!$B:$DE,VLOOKUP('Non-SWB CaseList'!AA$6,'Non-SWB Lists'!$A$1:$C$39,3,FALSE()),FALSE())=0,"",VLOOKUP($D9,'Raw Data'!$B:$DE,VLOOKUP('Non-SWB CaseList'!AA$6,'Non-SWB Lists'!$A$1:$C$39,3,FALSE()),FALSE())),"")</f>
        <v/>
      </c>
      <c r="AB9" s="24" t="str">
        <f aca="false">IFERROR(IF(VLOOKUP($D9,'Raw Data'!$B:$DE,VLOOKUP('Non-SWB CaseList'!AB$6,'Non-SWB Lists'!$A$1:$C$39,3,FALSE()),FALSE())=0,"",VLOOKUP($D9,'Raw Data'!$B:$DE,VLOOKUP('Non-SWB CaseList'!AB$6,'Non-SWB Lists'!$A$1:$C$39,3,FALSE()),FALSE())),"")</f>
        <v/>
      </c>
      <c r="AC9" s="24" t="str">
        <f aca="false">IFERROR(IF(VLOOKUP($D9,'Raw Data'!$B:$DE,VLOOKUP('Non-SWB CaseList'!AC$6,'Non-SWB Lists'!$A$1:$C$39,3,FALSE()),FALSE())=0,"",VLOOKUP($D9,'Raw Data'!$B:$DE,VLOOKUP('Non-SWB CaseList'!AC$6,'Non-SWB Lists'!$A$1:$C$39,3,FALSE()),FALSE())),"")</f>
        <v/>
      </c>
      <c r="AD9" s="24" t="str">
        <f aca="false">IFERROR(IF(VLOOKUP($D9,'Raw Data'!$B:$DE,VLOOKUP('Non-SWB CaseList'!AD$6,'Non-SWB Lists'!$A$1:$C$39,3,FALSE()),FALSE())=0,"",VLOOKUP($D9,'Raw Data'!$B:$DE,VLOOKUP('Non-SWB CaseList'!AD$6,'Non-SWB Lists'!$A$1:$C$39,3,FALSE()),FALSE())),"")</f>
        <v/>
      </c>
      <c r="AE9" s="24" t="str">
        <f aca="false">IFERROR(IF(VLOOKUP($D9,'Raw Data'!$B:$DE,VLOOKUP('Non-SWB CaseList'!AE$6,'Non-SWB Lists'!$A$1:$C$39,3,FALSE()),FALSE())=0,"",VLOOKUP($D9,'Raw Data'!$B:$DE,VLOOKUP('Non-SWB CaseList'!AE$6,'Non-SWB Lists'!$A$1:$C$39,3,FALSE()),FALSE())),"")</f>
        <v/>
      </c>
      <c r="AF9" s="24" t="str">
        <f aca="false">IFERROR(IF(VLOOKUP($D9,'Raw Data'!$B:$DE,VLOOKUP('Non-SWB CaseList'!AF$6,'Non-SWB Lists'!$A$1:$C$39,3,FALSE()),FALSE())=0,"",VLOOKUP($D9,'Raw Data'!$B:$DE,VLOOKUP('Non-SWB CaseList'!AF$6,'Non-SWB Lists'!$A$1:$C$39,3,FALSE()),FALSE())),"")</f>
        <v/>
      </c>
      <c r="AG9" s="24" t="str">
        <f aca="false">IFERROR(IF(VLOOKUP($D9,'Raw Data'!$B:$DE,VLOOKUP('Non-SWB CaseList'!AG$6,'Non-SWB Lists'!$A$1:$C$39,3,FALSE()),FALSE())=0,"",VLOOKUP($D9,'Raw Data'!$B:$DE,VLOOKUP('Non-SWB CaseList'!AG$6,'Non-SWB Lists'!$A$1:$C$39,3,FALSE()),FALSE())),"")</f>
        <v/>
      </c>
      <c r="AH9" s="24" t="str">
        <f aca="false">IFERROR(IF(VLOOKUP($D9,'Raw Data'!$B:$DE,VLOOKUP('Non-SWB CaseList'!AH$6,'Non-SWB Lists'!$A$1:$C$39,3,FALSE()),FALSE())=0,"",VLOOKUP($D9,'Raw Data'!$B:$DE,VLOOKUP('Non-SWB CaseList'!AH$6,'Non-SWB Lists'!$A$1:$C$39,3,FALSE()),FALSE())),"")</f>
        <v/>
      </c>
      <c r="AI9" s="24" t="str">
        <f aca="false">IFERROR(IF(VLOOKUP($D9,'Raw Data'!$B:$DE,VLOOKUP('Non-SWB CaseList'!AI$6,'Non-SWB Lists'!$A$1:$C$39,3,FALSE()),FALSE())=0,"",VLOOKUP($D9,'Raw Data'!$B:$DE,VLOOKUP('Non-SWB CaseList'!AI$6,'Non-SWB Lists'!$A$1:$C$39,3,FALSE()),FALSE())),"")</f>
        <v/>
      </c>
      <c r="AJ9" s="24" t="str">
        <f aca="false">IFERROR(IF(VLOOKUP($D9,'Raw Data'!$B:$DE,VLOOKUP('Non-SWB CaseList'!AJ$6,'Non-SWB Lists'!$A$1:$C$39,3,FALSE()),FALSE())=0,"",VLOOKUP($D9,'Raw Data'!$B:$DE,VLOOKUP('Non-SWB CaseList'!AJ$6,'Non-SWB Lists'!$A$1:$C$39,3,FALSE()),FALSE())),"")</f>
        <v/>
      </c>
      <c r="AK9" s="24" t="str">
        <f aca="false">IFERROR(IF(VLOOKUP($D9,'Raw Data'!$B:$DE,VLOOKUP('Non-SWB CaseList'!AK$6,'Non-SWB Lists'!$A$1:$C$39,3,FALSE()),FALSE())=0,"",VLOOKUP($D9,'Raw Data'!$B:$DE,VLOOKUP('Non-SWB CaseList'!AK$6,'Non-SWB Lists'!$A$1:$C$39,3,FALSE()),FALSE())),"")</f>
        <v/>
      </c>
      <c r="AL9" s="24" t="str">
        <f aca="false">IFERROR(IF(VLOOKUP($D9,'Raw Data'!$B:$DE,VLOOKUP('Non-SWB CaseList'!AL$6,'Non-SWB Lists'!$A$1:$C$39,3,FALSE()),FALSE())=0,"",VLOOKUP($D9,'Raw Data'!$B:$DE,VLOOKUP('Non-SWB CaseList'!AL$6,'Non-SWB Lists'!$A$1:$C$39,3,FALSE()),FALSE())),"")</f>
        <v/>
      </c>
      <c r="AM9" s="24" t="str">
        <f aca="false">IFERROR(IF(VLOOKUP($D9,'Raw Data'!$B:$DE,VLOOKUP('Non-SWB CaseList'!AM$6,'Non-SWB Lists'!$A$1:$C$39,3,FALSE()),FALSE())=0,"",VLOOKUP($D9,'Raw Data'!$B:$DE,VLOOKUP('Non-SWB CaseList'!AM$6,'Non-SWB Lists'!$A$1:$C$39,3,FALSE()),FALSE())),"")</f>
        <v/>
      </c>
      <c r="AN9" s="24" t="str">
        <f aca="false">IFERROR(IF(VLOOKUP($D9,'Raw Data'!$B:$DE,VLOOKUP('Non-SWB CaseList'!AN$6,'Non-SWB Lists'!$A$1:$C$39,3,FALSE()),FALSE())=0,"NA",VLOOKUP($D9,'Raw Data'!$B:$DE,VLOOKUP('Non-SWB CaseList'!AN$6,'Non-SWB Lists'!$A$1:$C$39,3,FALSE()),FALSE())),"NA")</f>
        <v>NA</v>
      </c>
      <c r="AO9" s="24" t="str">
        <f aca="false">IFERROR(IF(VLOOKUP($D9,'Raw Data'!$B:$DE,VLOOKUP('Non-SWB CaseList'!AO$6,'Non-SWB Lists'!$A$1:$C$39,3,FALSE()),FALSE())=0,"",VLOOKUP($D9,'Raw Data'!$B:$DE,VLOOKUP('Non-SWB CaseList'!AO$6,'Non-SWB Lists'!$A$1:$C$39,3,FALSE()),FALSE())),"")</f>
        <v/>
      </c>
      <c r="AP9" s="24" t="str">
        <f aca="false">IFERROR(IF(VLOOKUP($D9,'Raw Data'!$B:$DE,VLOOKUP('Non-SWB CaseList'!AP$6,'Non-SWB Lists'!$A$1:$C$39,3,FALSE()),FALSE())=0,"",VLOOKUP($D9,'Raw Data'!$B:$DE,VLOOKUP('Non-SWB CaseList'!AP$6,'Non-SWB Lists'!$A$1:$C$39,3,FALSE()),FALSE())),"")</f>
        <v/>
      </c>
      <c r="AQ9" s="24" t="str">
        <f aca="false">IFERROR(IF(VLOOKUP($D9,'Raw Data'!$B:$DE,VLOOKUP('Non-SWB CaseList'!AQ$6,'Non-SWB Lists'!$A$1:$C$39,3,FALSE()),FALSE())=0,"",VLOOKUP($D9,'Raw Data'!$B:$DE,VLOOKUP('Non-SWB CaseList'!AQ$6,'Non-SWB Lists'!$A$1:$C$39,3,FALSE()),FALSE())),"")</f>
        <v/>
      </c>
      <c r="AR9" s="24" t="str">
        <f aca="false">IFERROR(IF(VLOOKUP($D9,'Raw Data'!$B:$DE,VLOOKUP('Non-SWB CaseList'!AR$6,'Non-SWB Lists'!$A$1:$C$39,3,FALSE()),FALSE())=0,"",VLOOKUP($D9,'Raw Data'!$B:$DE,VLOOKUP('Non-SWB CaseList'!AR$6,'Non-SWB Lists'!$A$1:$C$39,3,FALSE()),FALSE())),"")</f>
        <v/>
      </c>
      <c r="AS9" s="1" t="str">
        <f aca="false">IF($D9="","",IF(OR($J9="",$J9="NA"),"Sin datos",IF(OR(ISNUMBER(SEARCH("Chihuahua",$J9)),ISNUMBER(SEARCH("Coahuila",$J9)),ISNUMBER(SEARCH("Baja California Norte",$J9)),ISNUMBER(SEARCH("Nuevo Leon",$J9)),ISNUMBER(SEARCH("Nuevo León",$J9)),ISNUMBER(SEARCH("Tamaulipas",$J9)),ISNUMBER(SEARCH("Sonora",$J9))),"Revisar: State SI es Frontera","OK - No Frontera")))</f>
        <v>Sin datos</v>
      </c>
      <c r="AT9" s="19" t="n">
        <v>10000000205988</v>
      </c>
    </row>
    <row r="10" customFormat="false" ht="14.25" hidden="false" customHeight="true" outlineLevel="0" collapsed="false">
      <c r="A10" s="13"/>
      <c r="B10" s="14" t="s">
        <v>46</v>
      </c>
      <c r="C10" s="14" t="s">
        <v>47</v>
      </c>
      <c r="D10" s="15" t="n">
        <v>12390053</v>
      </c>
      <c r="E10" s="16" t="str">
        <f aca="false">IFERROR(IF(VLOOKUP($D10,'Raw Data'!$B:$DE,VLOOKUP('Non-SWB CaseList'!E$6,'Non-SWB Lists'!$A$1:$C$39,3,FALSE()),FALSE())=0,"",VLOOKUP($D10,'Raw Data'!$B:$DE,VLOOKUP('Non-SWB CaseList'!E$6,'Non-SWB Lists'!$A$1:$C$39,3,FALSE()),FALSE())),"")</f>
        <v/>
      </c>
      <c r="F10" s="14" t="s">
        <v>48</v>
      </c>
      <c r="G10" s="17" t="str">
        <f aca="false">IFERROR(IF(VLOOKUP($D10,'Raw Data'!$B:$DE,VLOOKUP('Non-SWB CaseList'!G$6,'Non-SWB Lists'!$A$1:$C$39,3,FALSE()),FALSE())=0,"",VLOOKUP($D10,'Raw Data'!$B:$DE,VLOOKUP('Non-SWB CaseList'!G$6,'Non-SWB Lists'!$A$1:$C$39,3,FALSE()),FALSE())),"")</f>
        <v/>
      </c>
      <c r="H10" s="17" t="str">
        <f aca="false">IFERROR(IF(VLOOKUP($D10,'Raw Data'!$B:$DE,VLOOKUP('Non-SWB CaseList'!H$6,'Non-SWB Lists'!$A$1:$C$39,3,FALSE()),FALSE())=0,"",VLOOKUP($D10,'Raw Data'!$B:$DE,VLOOKUP('Non-SWB CaseList'!H$6,'Non-SWB Lists'!$A$1:$C$39,3,FALSE()),FALSE())),"")</f>
        <v/>
      </c>
      <c r="I10" s="17" t="str">
        <f aca="false">IFERROR(IF(VLOOKUP($D10,'Raw Data'!$B:$DE,VLOOKUP('Non-SWB CaseList'!I$6,'Non-SWB Lists'!$A$1:$C$39,3,FALSE()),FALSE())=0,"",VLOOKUP($D10,'Raw Data'!$B:$DE,VLOOKUP('Non-SWB CaseList'!I$6,'Non-SWB Lists'!$A$1:$C$39,3,FALSE()),FALSE())),"")</f>
        <v/>
      </c>
      <c r="J10" s="17" t="str">
        <f aca="false">IFERROR(IF(VLOOKUP($D10,'Raw Data'!$B:$DE,VLOOKUP('Non-SWB CaseList'!J$6,'Non-SWB Lists'!$A$1:$C$39,3,FALSE()),FALSE())=0,"",VLOOKUP($D10,'Raw Data'!$B:$DE,VLOOKUP('Non-SWB CaseList'!J$6,'Non-SWB Lists'!$A$1:$C$39,3,FALSE()),FALSE())),"")</f>
        <v/>
      </c>
      <c r="K10" s="17" t="str">
        <f aca="false">IFERROR(IF(VLOOKUP($D10,'Raw Data'!$B:$DE,VLOOKUP('Non-SWB CaseList'!K$6,'Non-SWB Lists'!$A$1:$C$39,3,FALSE()),FALSE())=0,"",VLOOKUP($D10,'Raw Data'!$B:$DE,VLOOKUP('Non-SWB CaseList'!K$6,'Non-SWB Lists'!$A$1:$C$39,3,FALSE()),FALSE())),"")</f>
        <v/>
      </c>
      <c r="L10" s="17" t="str">
        <f aca="false">IFERROR(IF(VLOOKUP($D10,'Raw Data'!$B:$DE,VLOOKUP('Non-SWB CaseList'!L$6,'Non-SWB Lists'!$A$1:$C$39,3,FALSE()),FALSE())=0,"",VLOOKUP($D10,'Raw Data'!$B:$DE,VLOOKUP('Non-SWB CaseList'!L$6,'Non-SWB Lists'!$A$1:$C$39,3,FALSE()),FALSE())),"")</f>
        <v/>
      </c>
      <c r="M10" s="17" t="str">
        <f aca="false">IFERROR(IF(VLOOKUP($D10,'Raw Data'!$B:$DE,VLOOKUP('Non-SWB CaseList'!M$6,'Non-SWB Lists'!$A$1:$C$39,3,FALSE()),FALSE())=0,"",VLOOKUP($D10,'Raw Data'!$B:$DE,VLOOKUP('Non-SWB CaseList'!M$6,'Non-SWB Lists'!$A$1:$C$39,3,FALSE()),FALSE())),"")</f>
        <v/>
      </c>
      <c r="N10" s="17" t="str">
        <f aca="false">IFERROR(IF(VLOOKUP($D10,'Raw Data'!$B:$DE,VLOOKUP('Non-SWB CaseList'!N$6,'Non-SWB Lists'!$A$1:$C$39,3,FALSE()),FALSE())=0,"",VLOOKUP($D10,'Raw Data'!$B:$DE,VLOOKUP('Non-SWB CaseList'!N$6,'Non-SWB Lists'!$A$1:$C$39,3,FALSE()),FALSE())),"")</f>
        <v/>
      </c>
      <c r="O10" s="18" t="str">
        <f aca="false">IFERROR(IF(VLOOKUP($D10,'Raw Data'!$B:$DE,VLOOKUP('Non-SWB CaseList'!O$6,'Non-SWB Lists'!$A$1:$C$39,3,FALSE()),FALSE())=0,"",VLOOKUP($D10,'Raw Data'!$B:$DE,VLOOKUP('Non-SWB CaseList'!O$6,'Non-SWB Lists'!$A$1:$C$39,3,FALSE()),FALSE())),"")</f>
        <v/>
      </c>
      <c r="P10" s="18" t="str">
        <f aca="false">IFERROR(IF(VLOOKUP($D10,'Raw Data'!$B:$DE,VLOOKUP('Non-SWB CaseList'!P$6,'Non-SWB Lists'!$A$1:$C$39,3,FALSE()),FALSE())=0,"",VLOOKUP($D10,'Raw Data'!$B:$DE,VLOOKUP('Non-SWB CaseList'!P$6,'Non-SWB Lists'!$A$1:$C$39,3,FALSE()),FALSE())),"")</f>
        <v/>
      </c>
      <c r="Q10" s="18" t="str">
        <f aca="false">IFERROR(IF(VLOOKUP($D10,'Raw Data'!$B:$DE,VLOOKUP('Non-SWB CaseList'!Q$6,'Non-SWB Lists'!$A$1:$C$39,3,FALSE()),FALSE())=0,"",VLOOKUP($D10,'Raw Data'!$B:$DE,VLOOKUP('Non-SWB CaseList'!Q$6,'Non-SWB Lists'!$A$1:$C$39,3,FALSE()),FALSE())),"")</f>
        <v/>
      </c>
      <c r="R10" s="18" t="str">
        <f aca="false">IFERROR(IF(VLOOKUP($D10,'Raw Data'!$B:$DE,VLOOKUP('Non-SWB CaseList'!R$6,'Non-SWB Lists'!$A$1:$C$39,3,FALSE()),FALSE())=0,"",VLOOKUP($D10,'Raw Data'!$B:$DE,VLOOKUP('Non-SWB CaseList'!R$6,'Non-SWB Lists'!$A$1:$C$39,3,FALSE()),FALSE())),"")</f>
        <v/>
      </c>
      <c r="S10" s="18" t="str">
        <f aca="false">IFERROR(IF(VLOOKUP($D10,'Raw Data'!$B:$DE,VLOOKUP('Non-SWB CaseList'!S$6,'Non-SWB Lists'!$A$1:$C$39,3,FALSE()),FALSE())=0,"",VLOOKUP($D10,'Raw Data'!$B:$DE,VLOOKUP('Non-SWB CaseList'!S$6,'Non-SWB Lists'!$A$1:$C$39,3,FALSE()),FALSE())),"")</f>
        <v/>
      </c>
      <c r="T10" s="18" t="str">
        <f aca="false">IFERROR(IF(VLOOKUP($D10,'Raw Data'!$B:$DE,VLOOKUP('Non-SWB CaseList'!T$6,'Non-SWB Lists'!$A$1:$C$39,3,FALSE()),FALSE())=0,"",VLOOKUP($D10,'Raw Data'!$B:$DE,VLOOKUP('Non-SWB CaseList'!T$6,'Non-SWB Lists'!$A$1:$C$39,3,FALSE()),FALSE())),"")</f>
        <v/>
      </c>
      <c r="U10" s="18" t="str">
        <f aca="false">IFERROR(IF(VLOOKUP($D10,'Raw Data'!$B:$DE,VLOOKUP('Non-SWB CaseList'!U$6,'Non-SWB Lists'!$A$1:$C$39,3,FALSE()),FALSE())=0,"",VLOOKUP($D10,'Raw Data'!$B:$DE,VLOOKUP('Non-SWB CaseList'!U$6,'Non-SWB Lists'!$A$1:$C$39,3,FALSE()),FALSE())),"")</f>
        <v/>
      </c>
      <c r="V10" s="18" t="str">
        <f aca="false">IFERROR(IF(VLOOKUP($D10,'Raw Data'!$B:$DE,VLOOKUP('Non-SWB CaseList'!V$6,'Non-SWB Lists'!$A$1:$C$39,3,FALSE()),FALSE())=0,"",VLOOKUP($D10,'Raw Data'!$B:$DE,VLOOKUP('Non-SWB CaseList'!V$6,'Non-SWB Lists'!$A$1:$C$39,3,FALSE()),FALSE())),"")</f>
        <v/>
      </c>
      <c r="W10" s="18" t="str">
        <f aca="false">IFERROR(IF(VLOOKUP($D10,'Raw Data'!$B:$DE,VLOOKUP('Non-SWB CaseList'!W$6,'Non-SWB Lists'!$A$1:$C$39,3,FALSE()),FALSE())=0,"",VLOOKUP($D10,'Raw Data'!$B:$DE,VLOOKUP('Non-SWB CaseList'!W$6,'Non-SWB Lists'!$A$1:$C$39,3,FALSE()),FALSE())),"")</f>
        <v/>
      </c>
      <c r="X10" s="18" t="str">
        <f aca="false">IFERROR(IF(VLOOKUP($D10,'Raw Data'!$B:$DE,VLOOKUP('Non-SWB CaseList'!X$6,'Non-SWB Lists'!$A$1:$C$39,3,FALSE()),FALSE())=0,"",VLOOKUP($D10,'Raw Data'!$B:$DE,VLOOKUP('Non-SWB CaseList'!X$6,'Non-SWB Lists'!$A$1:$C$39,3,FALSE()),FALSE())),"")</f>
        <v/>
      </c>
      <c r="Y10" s="18" t="str">
        <f aca="false">IFERROR(IF(VLOOKUP($D10,'Raw Data'!$B:$DE,VLOOKUP('Non-SWB CaseList'!Y$6,'Non-SWB Lists'!$A$1:$C$39,3,FALSE()),FALSE())=0,"",VLOOKUP($D10,'Raw Data'!$B:$DE,VLOOKUP('Non-SWB CaseList'!Y$6,'Non-SWB Lists'!$A$1:$C$39,3,FALSE()),FALSE())),"")</f>
        <v/>
      </c>
      <c r="Z10" s="18" t="str">
        <f aca="false">IFERROR(IF(VLOOKUP($D10,'Raw Data'!$B:$DE,VLOOKUP('Non-SWB CaseList'!Z$6,'Non-SWB Lists'!$A$1:$C$39,3,FALSE()),FALSE())=0,"",VLOOKUP($D10,'Raw Data'!$B:$DE,VLOOKUP('Non-SWB CaseList'!Z$6,'Non-SWB Lists'!$A$1:$C$39,3,FALSE()),FALSE())),"")</f>
        <v/>
      </c>
      <c r="AA10" s="18" t="str">
        <f aca="false">IFERROR(IF(VLOOKUP($D10,'Raw Data'!$B:$DE,VLOOKUP('Non-SWB CaseList'!AA$6,'Non-SWB Lists'!$A$1:$C$39,3,FALSE()),FALSE())=0,"",VLOOKUP($D10,'Raw Data'!$B:$DE,VLOOKUP('Non-SWB CaseList'!AA$6,'Non-SWB Lists'!$A$1:$C$39,3,FALSE()),FALSE())),"")</f>
        <v/>
      </c>
      <c r="AB10" s="18" t="str">
        <f aca="false">IFERROR(IF(VLOOKUP($D10,'Raw Data'!$B:$DE,VLOOKUP('Non-SWB CaseList'!AB$6,'Non-SWB Lists'!$A$1:$C$39,3,FALSE()),FALSE())=0,"",VLOOKUP($D10,'Raw Data'!$B:$DE,VLOOKUP('Non-SWB CaseList'!AB$6,'Non-SWB Lists'!$A$1:$C$39,3,FALSE()),FALSE())),"")</f>
        <v/>
      </c>
      <c r="AC10" s="18" t="str">
        <f aca="false">IFERROR(IF(VLOOKUP($D10,'Raw Data'!$B:$DE,VLOOKUP('Non-SWB CaseList'!AC$6,'Non-SWB Lists'!$A$1:$C$39,3,FALSE()),FALSE())=0,"",VLOOKUP($D10,'Raw Data'!$B:$DE,VLOOKUP('Non-SWB CaseList'!AC$6,'Non-SWB Lists'!$A$1:$C$39,3,FALSE()),FALSE())),"")</f>
        <v/>
      </c>
      <c r="AD10" s="18" t="str">
        <f aca="false">IFERROR(IF(VLOOKUP($D10,'Raw Data'!$B:$DE,VLOOKUP('Non-SWB CaseList'!AD$6,'Non-SWB Lists'!$A$1:$C$39,3,FALSE()),FALSE())=0,"",VLOOKUP($D10,'Raw Data'!$B:$DE,VLOOKUP('Non-SWB CaseList'!AD$6,'Non-SWB Lists'!$A$1:$C$39,3,FALSE()),FALSE())),"")</f>
        <v/>
      </c>
      <c r="AE10" s="18" t="str">
        <f aca="false">IFERROR(IF(VLOOKUP($D10,'Raw Data'!$B:$DE,VLOOKUP('Non-SWB CaseList'!AE$6,'Non-SWB Lists'!$A$1:$C$39,3,FALSE()),FALSE())=0,"",VLOOKUP($D10,'Raw Data'!$B:$DE,VLOOKUP('Non-SWB CaseList'!AE$6,'Non-SWB Lists'!$A$1:$C$39,3,FALSE()),FALSE())),"")</f>
        <v/>
      </c>
      <c r="AF10" s="18" t="str">
        <f aca="false">IFERROR(IF(VLOOKUP($D10,'Raw Data'!$B:$DE,VLOOKUP('Non-SWB CaseList'!AF$6,'Non-SWB Lists'!$A$1:$C$39,3,FALSE()),FALSE())=0,"",VLOOKUP($D10,'Raw Data'!$B:$DE,VLOOKUP('Non-SWB CaseList'!AF$6,'Non-SWB Lists'!$A$1:$C$39,3,FALSE()),FALSE())),"")</f>
        <v/>
      </c>
      <c r="AG10" s="18" t="str">
        <f aca="false">IFERROR(IF(VLOOKUP($D10,'Raw Data'!$B:$DE,VLOOKUP('Non-SWB CaseList'!AG$6,'Non-SWB Lists'!$A$1:$C$39,3,FALSE()),FALSE())=0,"",VLOOKUP($D10,'Raw Data'!$B:$DE,VLOOKUP('Non-SWB CaseList'!AG$6,'Non-SWB Lists'!$A$1:$C$39,3,FALSE()),FALSE())),"")</f>
        <v/>
      </c>
      <c r="AH10" s="18" t="str">
        <f aca="false">IFERROR(IF(VLOOKUP($D10,'Raw Data'!$B:$DE,VLOOKUP('Non-SWB CaseList'!AH$6,'Non-SWB Lists'!$A$1:$C$39,3,FALSE()),FALSE())=0,"",VLOOKUP($D10,'Raw Data'!$B:$DE,VLOOKUP('Non-SWB CaseList'!AH$6,'Non-SWB Lists'!$A$1:$C$39,3,FALSE()),FALSE())),"")</f>
        <v/>
      </c>
      <c r="AI10" s="18" t="str">
        <f aca="false">IFERROR(IF(VLOOKUP($D10,'Raw Data'!$B:$DE,VLOOKUP('Non-SWB CaseList'!AI$6,'Non-SWB Lists'!$A$1:$C$39,3,FALSE()),FALSE())=0,"",VLOOKUP($D10,'Raw Data'!$B:$DE,VLOOKUP('Non-SWB CaseList'!AI$6,'Non-SWB Lists'!$A$1:$C$39,3,FALSE()),FALSE())),"")</f>
        <v/>
      </c>
      <c r="AJ10" s="18" t="str">
        <f aca="false">IFERROR(IF(VLOOKUP($D10,'Raw Data'!$B:$DE,VLOOKUP('Non-SWB CaseList'!AJ$6,'Non-SWB Lists'!$A$1:$C$39,3,FALSE()),FALSE())=0,"",VLOOKUP($D10,'Raw Data'!$B:$DE,VLOOKUP('Non-SWB CaseList'!AJ$6,'Non-SWB Lists'!$A$1:$C$39,3,FALSE()),FALSE())),"")</f>
        <v/>
      </c>
      <c r="AK10" s="18" t="str">
        <f aca="false">IFERROR(IF(VLOOKUP($D10,'Raw Data'!$B:$DE,VLOOKUP('Non-SWB CaseList'!AK$6,'Non-SWB Lists'!$A$1:$C$39,3,FALSE()),FALSE())=0,"",VLOOKUP($D10,'Raw Data'!$B:$DE,VLOOKUP('Non-SWB CaseList'!AK$6,'Non-SWB Lists'!$A$1:$C$39,3,FALSE()),FALSE())),"")</f>
        <v/>
      </c>
      <c r="AL10" s="18" t="str">
        <f aca="false">IFERROR(IF(VLOOKUP($D10,'Raw Data'!$B:$DE,VLOOKUP('Non-SWB CaseList'!AL$6,'Non-SWB Lists'!$A$1:$C$39,3,FALSE()),FALSE())=0,"",VLOOKUP($D10,'Raw Data'!$B:$DE,VLOOKUP('Non-SWB CaseList'!AL$6,'Non-SWB Lists'!$A$1:$C$39,3,FALSE()),FALSE())),"")</f>
        <v/>
      </c>
      <c r="AM10" s="18" t="str">
        <f aca="false">IFERROR(IF(VLOOKUP($D10,'Raw Data'!$B:$DE,VLOOKUP('Non-SWB CaseList'!AM$6,'Non-SWB Lists'!$A$1:$C$39,3,FALSE()),FALSE())=0,"",VLOOKUP($D10,'Raw Data'!$B:$DE,VLOOKUP('Non-SWB CaseList'!AM$6,'Non-SWB Lists'!$A$1:$C$39,3,FALSE()),FALSE())),"")</f>
        <v/>
      </c>
      <c r="AN10" s="18" t="str">
        <f aca="false">IFERROR(IF(VLOOKUP($D10,'Raw Data'!$B:$DE,VLOOKUP('Non-SWB CaseList'!AN$6,'Non-SWB Lists'!$A$1:$C$39,3,FALSE()),FALSE())=0,"NA",VLOOKUP($D10,'Raw Data'!$B:$DE,VLOOKUP('Non-SWB CaseList'!AN$6,'Non-SWB Lists'!$A$1:$C$39,3,FALSE()),FALSE())),"NA")</f>
        <v>NA</v>
      </c>
      <c r="AO10" s="18" t="str">
        <f aca="false">IFERROR(IF(VLOOKUP($D10,'Raw Data'!$B:$DE,VLOOKUP('Non-SWB CaseList'!AO$6,'Non-SWB Lists'!$A$1:$C$39,3,FALSE()),FALSE())=0,"",VLOOKUP($D10,'Raw Data'!$B:$DE,VLOOKUP('Non-SWB CaseList'!AO$6,'Non-SWB Lists'!$A$1:$C$39,3,FALSE()),FALSE())),"")</f>
        <v/>
      </c>
      <c r="AP10" s="18" t="str">
        <f aca="false">IFERROR(IF(VLOOKUP($D10,'Raw Data'!$B:$DE,VLOOKUP('Non-SWB CaseList'!AP$6,'Non-SWB Lists'!$A$1:$C$39,3,FALSE()),FALSE())=0,"",VLOOKUP($D10,'Raw Data'!$B:$DE,VLOOKUP('Non-SWB CaseList'!AP$6,'Non-SWB Lists'!$A$1:$C$39,3,FALSE()),FALSE())),"")</f>
        <v/>
      </c>
      <c r="AQ10" s="18" t="str">
        <f aca="false">IFERROR(IF(VLOOKUP($D10,'Raw Data'!$B:$DE,VLOOKUP('Non-SWB CaseList'!AQ$6,'Non-SWB Lists'!$A$1:$C$39,3,FALSE()),FALSE())=0,"",VLOOKUP($D10,'Raw Data'!$B:$DE,VLOOKUP('Non-SWB CaseList'!AQ$6,'Non-SWB Lists'!$A$1:$C$39,3,FALSE()),FALSE())),"")</f>
        <v/>
      </c>
      <c r="AR10" s="18" t="str">
        <f aca="false">IFERROR(IF(VLOOKUP($D10,'Raw Data'!$B:$DE,VLOOKUP('Non-SWB CaseList'!AR$6,'Non-SWB Lists'!$A$1:$C$39,3,FALSE()),FALSE())=0,"",VLOOKUP($D10,'Raw Data'!$B:$DE,VLOOKUP('Non-SWB CaseList'!AR$6,'Non-SWB Lists'!$A$1:$C$39,3,FALSE()),FALSE())),"")</f>
        <v/>
      </c>
      <c r="AS10" s="1" t="str">
        <f aca="false">IF($D10="","",IF(OR($J10="",$J10="NA"),"Sin datos",IF(OR(ISNUMBER(SEARCH("Chihuahua",$J10)),ISNUMBER(SEARCH("Coahuila",$J10)),ISNUMBER(SEARCH("Baja California Norte",$J10)),ISNUMBER(SEARCH("Nuevo Leon",$J10)),ISNUMBER(SEARCH("Nuevo León",$J10)),ISNUMBER(SEARCH("Tamaulipas",$J10)),ISNUMBER(SEARCH("Sonora",$J10))),"Revisar: State SI es Frontera","OK - No Frontera")))</f>
        <v>Sin datos</v>
      </c>
      <c r="AT10" s="19" t="n">
        <v>10000000205986</v>
      </c>
    </row>
    <row r="11" customFormat="false" ht="14.25" hidden="false" customHeight="true" outlineLevel="0" collapsed="false">
      <c r="A11" s="20"/>
      <c r="B11" s="14" t="s">
        <v>46</v>
      </c>
      <c r="C11" s="14" t="s">
        <v>47</v>
      </c>
      <c r="D11" s="21" t="n">
        <v>12390056</v>
      </c>
      <c r="E11" s="22" t="str">
        <f aca="false">IFERROR(IF(VLOOKUP($D11,'Raw Data'!$B:$DE,VLOOKUP('Non-SWB CaseList'!E$6,'Non-SWB Lists'!$A$1:$C$39,3,FALSE()),FALSE())=0,"",VLOOKUP($D11,'Raw Data'!$B:$DE,VLOOKUP('Non-SWB CaseList'!E$6,'Non-SWB Lists'!$A$1:$C$39,3,FALSE()),FALSE())),"")</f>
        <v/>
      </c>
      <c r="F11" s="14" t="s">
        <v>48</v>
      </c>
      <c r="G11" s="23" t="str">
        <f aca="false">IFERROR(IF(VLOOKUP($D11,'Raw Data'!$B:$DE,VLOOKUP('Non-SWB CaseList'!G$6,'Non-SWB Lists'!$A$1:$C$39,3,FALSE()),FALSE())=0,"",VLOOKUP($D11,'Raw Data'!$B:$DE,VLOOKUP('Non-SWB CaseList'!G$6,'Non-SWB Lists'!$A$1:$C$39,3,FALSE()),FALSE())),"")</f>
        <v/>
      </c>
      <c r="H11" s="23" t="str">
        <f aca="false">IFERROR(IF(VLOOKUP($D11,'Raw Data'!$B:$DE,VLOOKUP('Non-SWB CaseList'!H$6,'Non-SWB Lists'!$A$1:$C$39,3,FALSE()),FALSE())=0,"",VLOOKUP($D11,'Raw Data'!$B:$DE,VLOOKUP('Non-SWB CaseList'!H$6,'Non-SWB Lists'!$A$1:$C$39,3,FALSE()),FALSE())),"")</f>
        <v/>
      </c>
      <c r="I11" s="23" t="str">
        <f aca="false">IFERROR(IF(VLOOKUP($D11,'Raw Data'!$B:$DE,VLOOKUP('Non-SWB CaseList'!I$6,'Non-SWB Lists'!$A$1:$C$39,3,FALSE()),FALSE())=0,"",VLOOKUP($D11,'Raw Data'!$B:$DE,VLOOKUP('Non-SWB CaseList'!I$6,'Non-SWB Lists'!$A$1:$C$39,3,FALSE()),FALSE())),"")</f>
        <v/>
      </c>
      <c r="J11" s="23" t="str">
        <f aca="false">IFERROR(IF(VLOOKUP($D11,'Raw Data'!$B:$DE,VLOOKUP('Non-SWB CaseList'!J$6,'Non-SWB Lists'!$A$1:$C$39,3,FALSE()),FALSE())=0,"",VLOOKUP($D11,'Raw Data'!$B:$DE,VLOOKUP('Non-SWB CaseList'!J$6,'Non-SWB Lists'!$A$1:$C$39,3,FALSE()),FALSE())),"")</f>
        <v/>
      </c>
      <c r="K11" s="23" t="str">
        <f aca="false">IFERROR(IF(VLOOKUP($D11,'Raw Data'!$B:$DE,VLOOKUP('Non-SWB CaseList'!K$6,'Non-SWB Lists'!$A$1:$C$39,3,FALSE()),FALSE())=0,"",VLOOKUP($D11,'Raw Data'!$B:$DE,VLOOKUP('Non-SWB CaseList'!K$6,'Non-SWB Lists'!$A$1:$C$39,3,FALSE()),FALSE())),"")</f>
        <v/>
      </c>
      <c r="L11" s="23" t="str">
        <f aca="false">IFERROR(IF(VLOOKUP($D11,'Raw Data'!$B:$DE,VLOOKUP('Non-SWB CaseList'!L$6,'Non-SWB Lists'!$A$1:$C$39,3,FALSE()),FALSE())=0,"",VLOOKUP($D11,'Raw Data'!$B:$DE,VLOOKUP('Non-SWB CaseList'!L$6,'Non-SWB Lists'!$A$1:$C$39,3,FALSE()),FALSE())),"")</f>
        <v/>
      </c>
      <c r="M11" s="23" t="str">
        <f aca="false">IFERROR(IF(VLOOKUP($D11,'Raw Data'!$B:$DE,VLOOKUP('Non-SWB CaseList'!M$6,'Non-SWB Lists'!$A$1:$C$39,3,FALSE()),FALSE())=0,"",VLOOKUP($D11,'Raw Data'!$B:$DE,VLOOKUP('Non-SWB CaseList'!M$6,'Non-SWB Lists'!$A$1:$C$39,3,FALSE()),FALSE())),"")</f>
        <v/>
      </c>
      <c r="N11" s="23" t="str">
        <f aca="false">IFERROR(IF(VLOOKUP($D11,'Raw Data'!$B:$DE,VLOOKUP('Non-SWB CaseList'!N$6,'Non-SWB Lists'!$A$1:$C$39,3,FALSE()),FALSE())=0,"",VLOOKUP($D11,'Raw Data'!$B:$DE,VLOOKUP('Non-SWB CaseList'!N$6,'Non-SWB Lists'!$A$1:$C$39,3,FALSE()),FALSE())),"")</f>
        <v/>
      </c>
      <c r="O11" s="24" t="str">
        <f aca="false">IFERROR(IF(VLOOKUP($D11,'Raw Data'!$B:$DE,VLOOKUP('Non-SWB CaseList'!O$6,'Non-SWB Lists'!$A$1:$C$39,3,FALSE()),FALSE())=0,"",VLOOKUP($D11,'Raw Data'!$B:$DE,VLOOKUP('Non-SWB CaseList'!O$6,'Non-SWB Lists'!$A$1:$C$39,3,FALSE()),FALSE())),"")</f>
        <v/>
      </c>
      <c r="P11" s="24" t="str">
        <f aca="false">IFERROR(IF(VLOOKUP($D11,'Raw Data'!$B:$DE,VLOOKUP('Non-SWB CaseList'!P$6,'Non-SWB Lists'!$A$1:$C$39,3,FALSE()),FALSE())=0,"",VLOOKUP($D11,'Raw Data'!$B:$DE,VLOOKUP('Non-SWB CaseList'!P$6,'Non-SWB Lists'!$A$1:$C$39,3,FALSE()),FALSE())),"")</f>
        <v/>
      </c>
      <c r="Q11" s="24" t="str">
        <f aca="false">IFERROR(IF(VLOOKUP($D11,'Raw Data'!$B:$DE,VLOOKUP('Non-SWB CaseList'!Q$6,'Non-SWB Lists'!$A$1:$C$39,3,FALSE()),FALSE())=0,"",VLOOKUP($D11,'Raw Data'!$B:$DE,VLOOKUP('Non-SWB CaseList'!Q$6,'Non-SWB Lists'!$A$1:$C$39,3,FALSE()),FALSE())),"")</f>
        <v/>
      </c>
      <c r="R11" s="24" t="str">
        <f aca="false">IFERROR(IF(VLOOKUP($D11,'Raw Data'!$B:$DE,VLOOKUP('Non-SWB CaseList'!R$6,'Non-SWB Lists'!$A$1:$C$39,3,FALSE()),FALSE())=0,"",VLOOKUP($D11,'Raw Data'!$B:$DE,VLOOKUP('Non-SWB CaseList'!R$6,'Non-SWB Lists'!$A$1:$C$39,3,FALSE()),FALSE())),"")</f>
        <v/>
      </c>
      <c r="S11" s="24" t="str">
        <f aca="false">IFERROR(IF(VLOOKUP($D11,'Raw Data'!$B:$DE,VLOOKUP('Non-SWB CaseList'!S$6,'Non-SWB Lists'!$A$1:$C$39,3,FALSE()),FALSE())=0,"",VLOOKUP($D11,'Raw Data'!$B:$DE,VLOOKUP('Non-SWB CaseList'!S$6,'Non-SWB Lists'!$A$1:$C$39,3,FALSE()),FALSE())),"")</f>
        <v/>
      </c>
      <c r="T11" s="24" t="str">
        <f aca="false">IFERROR(IF(VLOOKUP($D11,'Raw Data'!$B:$DE,VLOOKUP('Non-SWB CaseList'!T$6,'Non-SWB Lists'!$A$1:$C$39,3,FALSE()),FALSE())=0,"",VLOOKUP($D11,'Raw Data'!$B:$DE,VLOOKUP('Non-SWB CaseList'!T$6,'Non-SWB Lists'!$A$1:$C$39,3,FALSE()),FALSE())),"")</f>
        <v/>
      </c>
      <c r="U11" s="24" t="str">
        <f aca="false">IFERROR(IF(VLOOKUP($D11,'Raw Data'!$B:$DE,VLOOKUP('Non-SWB CaseList'!U$6,'Non-SWB Lists'!$A$1:$C$39,3,FALSE()),FALSE())=0,"",VLOOKUP($D11,'Raw Data'!$B:$DE,VLOOKUP('Non-SWB CaseList'!U$6,'Non-SWB Lists'!$A$1:$C$39,3,FALSE()),FALSE())),"")</f>
        <v/>
      </c>
      <c r="V11" s="24" t="str">
        <f aca="false">IFERROR(IF(VLOOKUP($D11,'Raw Data'!$B:$DE,VLOOKUP('Non-SWB CaseList'!V$6,'Non-SWB Lists'!$A$1:$C$39,3,FALSE()),FALSE())=0,"",VLOOKUP($D11,'Raw Data'!$B:$DE,VLOOKUP('Non-SWB CaseList'!V$6,'Non-SWB Lists'!$A$1:$C$39,3,FALSE()),FALSE())),"")</f>
        <v/>
      </c>
      <c r="W11" s="24" t="str">
        <f aca="false">IFERROR(IF(VLOOKUP($D11,'Raw Data'!$B:$DE,VLOOKUP('Non-SWB CaseList'!W$6,'Non-SWB Lists'!$A$1:$C$39,3,FALSE()),FALSE())=0,"",VLOOKUP($D11,'Raw Data'!$B:$DE,VLOOKUP('Non-SWB CaseList'!W$6,'Non-SWB Lists'!$A$1:$C$39,3,FALSE()),FALSE())),"")</f>
        <v/>
      </c>
      <c r="X11" s="24" t="str">
        <f aca="false">IFERROR(IF(VLOOKUP($D11,'Raw Data'!$B:$DE,VLOOKUP('Non-SWB CaseList'!X$6,'Non-SWB Lists'!$A$1:$C$39,3,FALSE()),FALSE())=0,"",VLOOKUP($D11,'Raw Data'!$B:$DE,VLOOKUP('Non-SWB CaseList'!X$6,'Non-SWB Lists'!$A$1:$C$39,3,FALSE()),FALSE())),"")</f>
        <v/>
      </c>
      <c r="Y11" s="24" t="str">
        <f aca="false">IFERROR(IF(VLOOKUP($D11,'Raw Data'!$B:$DE,VLOOKUP('Non-SWB CaseList'!Y$6,'Non-SWB Lists'!$A$1:$C$39,3,FALSE()),FALSE())=0,"",VLOOKUP($D11,'Raw Data'!$B:$DE,VLOOKUP('Non-SWB CaseList'!Y$6,'Non-SWB Lists'!$A$1:$C$39,3,FALSE()),FALSE())),"")</f>
        <v/>
      </c>
      <c r="Z11" s="24" t="str">
        <f aca="false">IFERROR(IF(VLOOKUP($D11,'Raw Data'!$B:$DE,VLOOKUP('Non-SWB CaseList'!Z$6,'Non-SWB Lists'!$A$1:$C$39,3,FALSE()),FALSE())=0,"",VLOOKUP($D11,'Raw Data'!$B:$DE,VLOOKUP('Non-SWB CaseList'!Z$6,'Non-SWB Lists'!$A$1:$C$39,3,FALSE()),FALSE())),"")</f>
        <v/>
      </c>
      <c r="AA11" s="24" t="str">
        <f aca="false">IFERROR(IF(VLOOKUP($D11,'Raw Data'!$B:$DE,VLOOKUP('Non-SWB CaseList'!AA$6,'Non-SWB Lists'!$A$1:$C$39,3,FALSE()),FALSE())=0,"",VLOOKUP($D11,'Raw Data'!$B:$DE,VLOOKUP('Non-SWB CaseList'!AA$6,'Non-SWB Lists'!$A$1:$C$39,3,FALSE()),FALSE())),"")</f>
        <v/>
      </c>
      <c r="AB11" s="24" t="str">
        <f aca="false">IFERROR(IF(VLOOKUP($D11,'Raw Data'!$B:$DE,VLOOKUP('Non-SWB CaseList'!AB$6,'Non-SWB Lists'!$A$1:$C$39,3,FALSE()),FALSE())=0,"",VLOOKUP($D11,'Raw Data'!$B:$DE,VLOOKUP('Non-SWB CaseList'!AB$6,'Non-SWB Lists'!$A$1:$C$39,3,FALSE()),FALSE())),"")</f>
        <v/>
      </c>
      <c r="AC11" s="24" t="str">
        <f aca="false">IFERROR(IF(VLOOKUP($D11,'Raw Data'!$B:$DE,VLOOKUP('Non-SWB CaseList'!AC$6,'Non-SWB Lists'!$A$1:$C$39,3,FALSE()),FALSE())=0,"",VLOOKUP($D11,'Raw Data'!$B:$DE,VLOOKUP('Non-SWB CaseList'!AC$6,'Non-SWB Lists'!$A$1:$C$39,3,FALSE()),FALSE())),"")</f>
        <v/>
      </c>
      <c r="AD11" s="24" t="str">
        <f aca="false">IFERROR(IF(VLOOKUP($D11,'Raw Data'!$B:$DE,VLOOKUP('Non-SWB CaseList'!AD$6,'Non-SWB Lists'!$A$1:$C$39,3,FALSE()),FALSE())=0,"",VLOOKUP($D11,'Raw Data'!$B:$DE,VLOOKUP('Non-SWB CaseList'!AD$6,'Non-SWB Lists'!$A$1:$C$39,3,FALSE()),FALSE())),"")</f>
        <v/>
      </c>
      <c r="AE11" s="24" t="str">
        <f aca="false">IFERROR(IF(VLOOKUP($D11,'Raw Data'!$B:$DE,VLOOKUP('Non-SWB CaseList'!AE$6,'Non-SWB Lists'!$A$1:$C$39,3,FALSE()),FALSE())=0,"",VLOOKUP($D11,'Raw Data'!$B:$DE,VLOOKUP('Non-SWB CaseList'!AE$6,'Non-SWB Lists'!$A$1:$C$39,3,FALSE()),FALSE())),"")</f>
        <v/>
      </c>
      <c r="AF11" s="24" t="str">
        <f aca="false">IFERROR(IF(VLOOKUP($D11,'Raw Data'!$B:$DE,VLOOKUP('Non-SWB CaseList'!AF$6,'Non-SWB Lists'!$A$1:$C$39,3,FALSE()),FALSE())=0,"",VLOOKUP($D11,'Raw Data'!$B:$DE,VLOOKUP('Non-SWB CaseList'!AF$6,'Non-SWB Lists'!$A$1:$C$39,3,FALSE()),FALSE())),"")</f>
        <v/>
      </c>
      <c r="AG11" s="24" t="str">
        <f aca="false">IFERROR(IF(VLOOKUP($D11,'Raw Data'!$B:$DE,VLOOKUP('Non-SWB CaseList'!AG$6,'Non-SWB Lists'!$A$1:$C$39,3,FALSE()),FALSE())=0,"",VLOOKUP($D11,'Raw Data'!$B:$DE,VLOOKUP('Non-SWB CaseList'!AG$6,'Non-SWB Lists'!$A$1:$C$39,3,FALSE()),FALSE())),"")</f>
        <v/>
      </c>
      <c r="AH11" s="24" t="str">
        <f aca="false">IFERROR(IF(VLOOKUP($D11,'Raw Data'!$B:$DE,VLOOKUP('Non-SWB CaseList'!AH$6,'Non-SWB Lists'!$A$1:$C$39,3,FALSE()),FALSE())=0,"",VLOOKUP($D11,'Raw Data'!$B:$DE,VLOOKUP('Non-SWB CaseList'!AH$6,'Non-SWB Lists'!$A$1:$C$39,3,FALSE()),FALSE())),"")</f>
        <v/>
      </c>
      <c r="AI11" s="24" t="str">
        <f aca="false">IFERROR(IF(VLOOKUP($D11,'Raw Data'!$B:$DE,VLOOKUP('Non-SWB CaseList'!AI$6,'Non-SWB Lists'!$A$1:$C$39,3,FALSE()),FALSE())=0,"",VLOOKUP($D11,'Raw Data'!$B:$DE,VLOOKUP('Non-SWB CaseList'!AI$6,'Non-SWB Lists'!$A$1:$C$39,3,FALSE()),FALSE())),"")</f>
        <v/>
      </c>
      <c r="AJ11" s="24" t="str">
        <f aca="false">IFERROR(IF(VLOOKUP($D11,'Raw Data'!$B:$DE,VLOOKUP('Non-SWB CaseList'!AJ$6,'Non-SWB Lists'!$A$1:$C$39,3,FALSE()),FALSE())=0,"",VLOOKUP($D11,'Raw Data'!$B:$DE,VLOOKUP('Non-SWB CaseList'!AJ$6,'Non-SWB Lists'!$A$1:$C$39,3,FALSE()),FALSE())),"")</f>
        <v/>
      </c>
      <c r="AK11" s="24" t="str">
        <f aca="false">IFERROR(IF(VLOOKUP($D11,'Raw Data'!$B:$DE,VLOOKUP('Non-SWB CaseList'!AK$6,'Non-SWB Lists'!$A$1:$C$39,3,FALSE()),FALSE())=0,"",VLOOKUP($D11,'Raw Data'!$B:$DE,VLOOKUP('Non-SWB CaseList'!AK$6,'Non-SWB Lists'!$A$1:$C$39,3,FALSE()),FALSE())),"")</f>
        <v/>
      </c>
      <c r="AL11" s="24" t="str">
        <f aca="false">IFERROR(IF(VLOOKUP($D11,'Raw Data'!$B:$DE,VLOOKUP('Non-SWB CaseList'!AL$6,'Non-SWB Lists'!$A$1:$C$39,3,FALSE()),FALSE())=0,"",VLOOKUP($D11,'Raw Data'!$B:$DE,VLOOKUP('Non-SWB CaseList'!AL$6,'Non-SWB Lists'!$A$1:$C$39,3,FALSE()),FALSE())),"")</f>
        <v/>
      </c>
      <c r="AM11" s="24" t="str">
        <f aca="false">IFERROR(IF(VLOOKUP($D11,'Raw Data'!$B:$DE,VLOOKUP('Non-SWB CaseList'!AM$6,'Non-SWB Lists'!$A$1:$C$39,3,FALSE()),FALSE())=0,"",VLOOKUP($D11,'Raw Data'!$B:$DE,VLOOKUP('Non-SWB CaseList'!AM$6,'Non-SWB Lists'!$A$1:$C$39,3,FALSE()),FALSE())),"")</f>
        <v/>
      </c>
      <c r="AN11" s="24" t="str">
        <f aca="false">IFERROR(IF(VLOOKUP($D11,'Raw Data'!$B:$DE,VLOOKUP('Non-SWB CaseList'!AN$6,'Non-SWB Lists'!$A$1:$C$39,3,FALSE()),FALSE())=0,"NA",VLOOKUP($D11,'Raw Data'!$B:$DE,VLOOKUP('Non-SWB CaseList'!AN$6,'Non-SWB Lists'!$A$1:$C$39,3,FALSE()),FALSE())),"NA")</f>
        <v>NA</v>
      </c>
      <c r="AO11" s="24" t="str">
        <f aca="false">IFERROR(IF(VLOOKUP($D11,'Raw Data'!$B:$DE,VLOOKUP('Non-SWB CaseList'!AO$6,'Non-SWB Lists'!$A$1:$C$39,3,FALSE()),FALSE())=0,"",VLOOKUP($D11,'Raw Data'!$B:$DE,VLOOKUP('Non-SWB CaseList'!AO$6,'Non-SWB Lists'!$A$1:$C$39,3,FALSE()),FALSE())),"")</f>
        <v/>
      </c>
      <c r="AP11" s="24" t="str">
        <f aca="false">IFERROR(IF(VLOOKUP($D11,'Raw Data'!$B:$DE,VLOOKUP('Non-SWB CaseList'!AP$6,'Non-SWB Lists'!$A$1:$C$39,3,FALSE()),FALSE())=0,"",VLOOKUP($D11,'Raw Data'!$B:$DE,VLOOKUP('Non-SWB CaseList'!AP$6,'Non-SWB Lists'!$A$1:$C$39,3,FALSE()),FALSE())),"")</f>
        <v/>
      </c>
      <c r="AQ11" s="24" t="str">
        <f aca="false">IFERROR(IF(VLOOKUP($D11,'Raw Data'!$B:$DE,VLOOKUP('Non-SWB CaseList'!AQ$6,'Non-SWB Lists'!$A$1:$C$39,3,FALSE()),FALSE())=0,"",VLOOKUP($D11,'Raw Data'!$B:$DE,VLOOKUP('Non-SWB CaseList'!AQ$6,'Non-SWB Lists'!$A$1:$C$39,3,FALSE()),FALSE())),"")</f>
        <v/>
      </c>
      <c r="AR11" s="24" t="str">
        <f aca="false">IFERROR(IF(VLOOKUP($D11,'Raw Data'!$B:$DE,VLOOKUP('Non-SWB CaseList'!AR$6,'Non-SWB Lists'!$A$1:$C$39,3,FALSE()),FALSE())=0,"",VLOOKUP($D11,'Raw Data'!$B:$DE,VLOOKUP('Non-SWB CaseList'!AR$6,'Non-SWB Lists'!$A$1:$C$39,3,FALSE()),FALSE())),"")</f>
        <v/>
      </c>
      <c r="AS11" s="1" t="str">
        <f aca="false">IF($D11="","",IF(OR($J11="",$J11="NA"),"Sin datos",IF(OR(ISNUMBER(SEARCH("Chihuahua",$J11)),ISNUMBER(SEARCH("Coahuila",$J11)),ISNUMBER(SEARCH("Baja California Norte",$J11)),ISNUMBER(SEARCH("Nuevo Leon",$J11)),ISNUMBER(SEARCH("Nuevo León",$J11)),ISNUMBER(SEARCH("Tamaulipas",$J11)),ISNUMBER(SEARCH("Sonora",$J11))),"Revisar: State SI es Frontera","OK - No Frontera")))</f>
        <v>Sin datos</v>
      </c>
      <c r="AT11" s="19" t="n">
        <v>10000001875246</v>
      </c>
    </row>
    <row r="12" customFormat="false" ht="14.25" hidden="false" customHeight="true" outlineLevel="0" collapsed="false">
      <c r="A12" s="20"/>
      <c r="B12" s="14" t="s">
        <v>49</v>
      </c>
      <c r="C12" s="14" t="s">
        <v>47</v>
      </c>
      <c r="D12" s="21" t="n">
        <v>12390054</v>
      </c>
      <c r="E12" s="22" t="str">
        <f aca="false">IFERROR(IF(VLOOKUP($D12,'Raw Data'!$B:$DE,VLOOKUP('Non-SWB CaseList'!E$6,'Non-SWB Lists'!$A$1:$C$39,3,FALSE()),FALSE())=0,"",VLOOKUP($D12,'Raw Data'!$B:$DE,VLOOKUP('Non-SWB CaseList'!E$6,'Non-SWB Lists'!$A$1:$C$39,3,FALSE()),FALSE())),"")</f>
        <v/>
      </c>
      <c r="F12" s="14" t="s">
        <v>48</v>
      </c>
      <c r="G12" s="23" t="str">
        <f aca="false">IFERROR(IF(VLOOKUP($D12,'Raw Data'!$B:$DE,VLOOKUP('Non-SWB CaseList'!G$6,'Non-SWB Lists'!$A$1:$C$39,3,FALSE()),FALSE())=0,"",VLOOKUP($D12,'Raw Data'!$B:$DE,VLOOKUP('Non-SWB CaseList'!G$6,'Non-SWB Lists'!$A$1:$C$39,3,FALSE()),FALSE())),"")</f>
        <v/>
      </c>
      <c r="H12" s="23" t="str">
        <f aca="false">IFERROR(IF(VLOOKUP($D12,'Raw Data'!$B:$DE,VLOOKUP('Non-SWB CaseList'!H$6,'Non-SWB Lists'!$A$1:$C$39,3,FALSE()),FALSE())=0,"",VLOOKUP($D12,'Raw Data'!$B:$DE,VLOOKUP('Non-SWB CaseList'!H$6,'Non-SWB Lists'!$A$1:$C$39,3,FALSE()),FALSE())),"")</f>
        <v/>
      </c>
      <c r="I12" s="23" t="str">
        <f aca="false">IFERROR(IF(VLOOKUP($D12,'Raw Data'!$B:$DE,VLOOKUP('Non-SWB CaseList'!I$6,'Non-SWB Lists'!$A$1:$C$39,3,FALSE()),FALSE())=0,"",VLOOKUP($D12,'Raw Data'!$B:$DE,VLOOKUP('Non-SWB CaseList'!I$6,'Non-SWB Lists'!$A$1:$C$39,3,FALSE()),FALSE())),"")</f>
        <v/>
      </c>
      <c r="J12" s="23" t="str">
        <f aca="false">IFERROR(IF(VLOOKUP($D12,'Raw Data'!$B:$DE,VLOOKUP('Non-SWB CaseList'!J$6,'Non-SWB Lists'!$A$1:$C$39,3,FALSE()),FALSE())=0,"",VLOOKUP($D12,'Raw Data'!$B:$DE,VLOOKUP('Non-SWB CaseList'!J$6,'Non-SWB Lists'!$A$1:$C$39,3,FALSE()),FALSE())),"")</f>
        <v/>
      </c>
      <c r="K12" s="23" t="str">
        <f aca="false">IFERROR(IF(VLOOKUP($D12,'Raw Data'!$B:$DE,VLOOKUP('Non-SWB CaseList'!K$6,'Non-SWB Lists'!$A$1:$C$39,3,FALSE()),FALSE())=0,"",VLOOKUP($D12,'Raw Data'!$B:$DE,VLOOKUP('Non-SWB CaseList'!K$6,'Non-SWB Lists'!$A$1:$C$39,3,FALSE()),FALSE())),"")</f>
        <v/>
      </c>
      <c r="L12" s="23" t="str">
        <f aca="false">IFERROR(IF(VLOOKUP($D12,'Raw Data'!$B:$DE,VLOOKUP('Non-SWB CaseList'!L$6,'Non-SWB Lists'!$A$1:$C$39,3,FALSE()),FALSE())=0,"",VLOOKUP($D12,'Raw Data'!$B:$DE,VLOOKUP('Non-SWB CaseList'!L$6,'Non-SWB Lists'!$A$1:$C$39,3,FALSE()),FALSE())),"")</f>
        <v/>
      </c>
      <c r="M12" s="23" t="str">
        <f aca="false">IFERROR(IF(VLOOKUP($D12,'Raw Data'!$B:$DE,VLOOKUP('Non-SWB CaseList'!M$6,'Non-SWB Lists'!$A$1:$C$39,3,FALSE()),FALSE())=0,"",VLOOKUP($D12,'Raw Data'!$B:$DE,VLOOKUP('Non-SWB CaseList'!M$6,'Non-SWB Lists'!$A$1:$C$39,3,FALSE()),FALSE())),"")</f>
        <v/>
      </c>
      <c r="N12" s="23" t="str">
        <f aca="false">IFERROR(IF(VLOOKUP($D12,'Raw Data'!$B:$DE,VLOOKUP('Non-SWB CaseList'!N$6,'Non-SWB Lists'!$A$1:$C$39,3,FALSE()),FALSE())=0,"",VLOOKUP($D12,'Raw Data'!$B:$DE,VLOOKUP('Non-SWB CaseList'!N$6,'Non-SWB Lists'!$A$1:$C$39,3,FALSE()),FALSE())),"")</f>
        <v/>
      </c>
      <c r="O12" s="24" t="str">
        <f aca="false">IFERROR(IF(VLOOKUP($D12,'Raw Data'!$B:$DE,VLOOKUP('Non-SWB CaseList'!O$6,'Non-SWB Lists'!$A$1:$C$39,3,FALSE()),FALSE())=0,"",VLOOKUP($D12,'Raw Data'!$B:$DE,VLOOKUP('Non-SWB CaseList'!O$6,'Non-SWB Lists'!$A$1:$C$39,3,FALSE()),FALSE())),"")</f>
        <v/>
      </c>
      <c r="P12" s="24" t="str">
        <f aca="false">IFERROR(IF(VLOOKUP($D12,'Raw Data'!$B:$DE,VLOOKUP('Non-SWB CaseList'!P$6,'Non-SWB Lists'!$A$1:$C$39,3,FALSE()),FALSE())=0,"",VLOOKUP($D12,'Raw Data'!$B:$DE,VLOOKUP('Non-SWB CaseList'!P$6,'Non-SWB Lists'!$A$1:$C$39,3,FALSE()),FALSE())),"")</f>
        <v/>
      </c>
      <c r="Q12" s="24" t="str">
        <f aca="false">IFERROR(IF(VLOOKUP($D12,'Raw Data'!$B:$DE,VLOOKUP('Non-SWB CaseList'!Q$6,'Non-SWB Lists'!$A$1:$C$39,3,FALSE()),FALSE())=0,"",VLOOKUP($D12,'Raw Data'!$B:$DE,VLOOKUP('Non-SWB CaseList'!Q$6,'Non-SWB Lists'!$A$1:$C$39,3,FALSE()),FALSE())),"")</f>
        <v/>
      </c>
      <c r="R12" s="24" t="str">
        <f aca="false">IFERROR(IF(VLOOKUP($D12,'Raw Data'!$B:$DE,VLOOKUP('Non-SWB CaseList'!R$6,'Non-SWB Lists'!$A$1:$C$39,3,FALSE()),FALSE())=0,"",VLOOKUP($D12,'Raw Data'!$B:$DE,VLOOKUP('Non-SWB CaseList'!R$6,'Non-SWB Lists'!$A$1:$C$39,3,FALSE()),FALSE())),"")</f>
        <v/>
      </c>
      <c r="S12" s="24" t="str">
        <f aca="false">IFERROR(IF(VLOOKUP($D12,'Raw Data'!$B:$DE,VLOOKUP('Non-SWB CaseList'!S$6,'Non-SWB Lists'!$A$1:$C$39,3,FALSE()),FALSE())=0,"",VLOOKUP($D12,'Raw Data'!$B:$DE,VLOOKUP('Non-SWB CaseList'!S$6,'Non-SWB Lists'!$A$1:$C$39,3,FALSE()),FALSE())),"")</f>
        <v/>
      </c>
      <c r="T12" s="24" t="str">
        <f aca="false">IFERROR(IF(VLOOKUP($D12,'Raw Data'!$B:$DE,VLOOKUP('Non-SWB CaseList'!T$6,'Non-SWB Lists'!$A$1:$C$39,3,FALSE()),FALSE())=0,"",VLOOKUP($D12,'Raw Data'!$B:$DE,VLOOKUP('Non-SWB CaseList'!T$6,'Non-SWB Lists'!$A$1:$C$39,3,FALSE()),FALSE())),"")</f>
        <v/>
      </c>
      <c r="U12" s="24" t="str">
        <f aca="false">IFERROR(IF(VLOOKUP($D12,'Raw Data'!$B:$DE,VLOOKUP('Non-SWB CaseList'!U$6,'Non-SWB Lists'!$A$1:$C$39,3,FALSE()),FALSE())=0,"",VLOOKUP($D12,'Raw Data'!$B:$DE,VLOOKUP('Non-SWB CaseList'!U$6,'Non-SWB Lists'!$A$1:$C$39,3,FALSE()),FALSE())),"")</f>
        <v/>
      </c>
      <c r="V12" s="24" t="str">
        <f aca="false">IFERROR(IF(VLOOKUP($D12,'Raw Data'!$B:$DE,VLOOKUP('Non-SWB CaseList'!V$6,'Non-SWB Lists'!$A$1:$C$39,3,FALSE()),FALSE())=0,"",VLOOKUP($D12,'Raw Data'!$B:$DE,VLOOKUP('Non-SWB CaseList'!V$6,'Non-SWB Lists'!$A$1:$C$39,3,FALSE()),FALSE())),"")</f>
        <v/>
      </c>
      <c r="W12" s="24" t="str">
        <f aca="false">IFERROR(IF(VLOOKUP($D12,'Raw Data'!$B:$DE,VLOOKUP('Non-SWB CaseList'!W$6,'Non-SWB Lists'!$A$1:$C$39,3,FALSE()),FALSE())=0,"",VLOOKUP($D12,'Raw Data'!$B:$DE,VLOOKUP('Non-SWB CaseList'!W$6,'Non-SWB Lists'!$A$1:$C$39,3,FALSE()),FALSE())),"")</f>
        <v/>
      </c>
      <c r="X12" s="24" t="str">
        <f aca="false">IFERROR(IF(VLOOKUP($D12,'Raw Data'!$B:$DE,VLOOKUP('Non-SWB CaseList'!X$6,'Non-SWB Lists'!$A$1:$C$39,3,FALSE()),FALSE())=0,"",VLOOKUP($D12,'Raw Data'!$B:$DE,VLOOKUP('Non-SWB CaseList'!X$6,'Non-SWB Lists'!$A$1:$C$39,3,FALSE()),FALSE())),"")</f>
        <v/>
      </c>
      <c r="Y12" s="24" t="str">
        <f aca="false">IFERROR(IF(VLOOKUP($D12,'Raw Data'!$B:$DE,VLOOKUP('Non-SWB CaseList'!Y$6,'Non-SWB Lists'!$A$1:$C$39,3,FALSE()),FALSE())=0,"",VLOOKUP($D12,'Raw Data'!$B:$DE,VLOOKUP('Non-SWB CaseList'!Y$6,'Non-SWB Lists'!$A$1:$C$39,3,FALSE()),FALSE())),"")</f>
        <v/>
      </c>
      <c r="Z12" s="24" t="str">
        <f aca="false">IFERROR(IF(VLOOKUP($D12,'Raw Data'!$B:$DE,VLOOKUP('Non-SWB CaseList'!Z$6,'Non-SWB Lists'!$A$1:$C$39,3,FALSE()),FALSE())=0,"",VLOOKUP($D12,'Raw Data'!$B:$DE,VLOOKUP('Non-SWB CaseList'!Z$6,'Non-SWB Lists'!$A$1:$C$39,3,FALSE()),FALSE())),"")</f>
        <v/>
      </c>
      <c r="AA12" s="24" t="str">
        <f aca="false">IFERROR(IF(VLOOKUP($D12,'Raw Data'!$B:$DE,VLOOKUP('Non-SWB CaseList'!AA$6,'Non-SWB Lists'!$A$1:$C$39,3,FALSE()),FALSE())=0,"",VLOOKUP($D12,'Raw Data'!$B:$DE,VLOOKUP('Non-SWB CaseList'!AA$6,'Non-SWB Lists'!$A$1:$C$39,3,FALSE()),FALSE())),"")</f>
        <v/>
      </c>
      <c r="AB12" s="24" t="str">
        <f aca="false">IFERROR(IF(VLOOKUP($D12,'Raw Data'!$B:$DE,VLOOKUP('Non-SWB CaseList'!AB$6,'Non-SWB Lists'!$A$1:$C$39,3,FALSE()),FALSE())=0,"",VLOOKUP($D12,'Raw Data'!$B:$DE,VLOOKUP('Non-SWB CaseList'!AB$6,'Non-SWB Lists'!$A$1:$C$39,3,FALSE()),FALSE())),"")</f>
        <v/>
      </c>
      <c r="AC12" s="24" t="str">
        <f aca="false">IFERROR(IF(VLOOKUP($D12,'Raw Data'!$B:$DE,VLOOKUP('Non-SWB CaseList'!AC$6,'Non-SWB Lists'!$A$1:$C$39,3,FALSE()),FALSE())=0,"",VLOOKUP($D12,'Raw Data'!$B:$DE,VLOOKUP('Non-SWB CaseList'!AC$6,'Non-SWB Lists'!$A$1:$C$39,3,FALSE()),FALSE())),"")</f>
        <v/>
      </c>
      <c r="AD12" s="24" t="str">
        <f aca="false">IFERROR(IF(VLOOKUP($D12,'Raw Data'!$B:$DE,VLOOKUP('Non-SWB CaseList'!AD$6,'Non-SWB Lists'!$A$1:$C$39,3,FALSE()),FALSE())=0,"",VLOOKUP($D12,'Raw Data'!$B:$DE,VLOOKUP('Non-SWB CaseList'!AD$6,'Non-SWB Lists'!$A$1:$C$39,3,FALSE()),FALSE())),"")</f>
        <v/>
      </c>
      <c r="AE12" s="24" t="str">
        <f aca="false">IFERROR(IF(VLOOKUP($D12,'Raw Data'!$B:$DE,VLOOKUP('Non-SWB CaseList'!AE$6,'Non-SWB Lists'!$A$1:$C$39,3,FALSE()),FALSE())=0,"",VLOOKUP($D12,'Raw Data'!$B:$DE,VLOOKUP('Non-SWB CaseList'!AE$6,'Non-SWB Lists'!$A$1:$C$39,3,FALSE()),FALSE())),"")</f>
        <v/>
      </c>
      <c r="AF12" s="24" t="str">
        <f aca="false">IFERROR(IF(VLOOKUP($D12,'Raw Data'!$B:$DE,VLOOKUP('Non-SWB CaseList'!AF$6,'Non-SWB Lists'!$A$1:$C$39,3,FALSE()),FALSE())=0,"",VLOOKUP($D12,'Raw Data'!$B:$DE,VLOOKUP('Non-SWB CaseList'!AF$6,'Non-SWB Lists'!$A$1:$C$39,3,FALSE()),FALSE())),"")</f>
        <v/>
      </c>
      <c r="AG12" s="24" t="str">
        <f aca="false">IFERROR(IF(VLOOKUP($D12,'Raw Data'!$B:$DE,VLOOKUP('Non-SWB CaseList'!AG$6,'Non-SWB Lists'!$A$1:$C$39,3,FALSE()),FALSE())=0,"",VLOOKUP($D12,'Raw Data'!$B:$DE,VLOOKUP('Non-SWB CaseList'!AG$6,'Non-SWB Lists'!$A$1:$C$39,3,FALSE()),FALSE())),"")</f>
        <v/>
      </c>
      <c r="AH12" s="24" t="str">
        <f aca="false">IFERROR(IF(VLOOKUP($D12,'Raw Data'!$B:$DE,VLOOKUP('Non-SWB CaseList'!AH$6,'Non-SWB Lists'!$A$1:$C$39,3,FALSE()),FALSE())=0,"",VLOOKUP($D12,'Raw Data'!$B:$DE,VLOOKUP('Non-SWB CaseList'!AH$6,'Non-SWB Lists'!$A$1:$C$39,3,FALSE()),FALSE())),"")</f>
        <v/>
      </c>
      <c r="AI12" s="24" t="str">
        <f aca="false">IFERROR(IF(VLOOKUP($D12,'Raw Data'!$B:$DE,VLOOKUP('Non-SWB CaseList'!AI$6,'Non-SWB Lists'!$A$1:$C$39,3,FALSE()),FALSE())=0,"",VLOOKUP($D12,'Raw Data'!$B:$DE,VLOOKUP('Non-SWB CaseList'!AI$6,'Non-SWB Lists'!$A$1:$C$39,3,FALSE()),FALSE())),"")</f>
        <v/>
      </c>
      <c r="AJ12" s="24" t="str">
        <f aca="false">IFERROR(IF(VLOOKUP($D12,'Raw Data'!$B:$DE,VLOOKUP('Non-SWB CaseList'!AJ$6,'Non-SWB Lists'!$A$1:$C$39,3,FALSE()),FALSE())=0,"",VLOOKUP($D12,'Raw Data'!$B:$DE,VLOOKUP('Non-SWB CaseList'!AJ$6,'Non-SWB Lists'!$A$1:$C$39,3,FALSE()),FALSE())),"")</f>
        <v/>
      </c>
      <c r="AK12" s="24" t="str">
        <f aca="false">IFERROR(IF(VLOOKUP($D12,'Raw Data'!$B:$DE,VLOOKUP('Non-SWB CaseList'!AK$6,'Non-SWB Lists'!$A$1:$C$39,3,FALSE()),FALSE())=0,"",VLOOKUP($D12,'Raw Data'!$B:$DE,VLOOKUP('Non-SWB CaseList'!AK$6,'Non-SWB Lists'!$A$1:$C$39,3,FALSE()),FALSE())),"")</f>
        <v/>
      </c>
      <c r="AL12" s="24" t="str">
        <f aca="false">IFERROR(IF(VLOOKUP($D12,'Raw Data'!$B:$DE,VLOOKUP('Non-SWB CaseList'!AL$6,'Non-SWB Lists'!$A$1:$C$39,3,FALSE()),FALSE())=0,"",VLOOKUP($D12,'Raw Data'!$B:$DE,VLOOKUP('Non-SWB CaseList'!AL$6,'Non-SWB Lists'!$A$1:$C$39,3,FALSE()),FALSE())),"")</f>
        <v/>
      </c>
      <c r="AM12" s="24" t="str">
        <f aca="false">IFERROR(IF(VLOOKUP($D12,'Raw Data'!$B:$DE,VLOOKUP('Non-SWB CaseList'!AM$6,'Non-SWB Lists'!$A$1:$C$39,3,FALSE()),FALSE())=0,"",VLOOKUP($D12,'Raw Data'!$B:$DE,VLOOKUP('Non-SWB CaseList'!AM$6,'Non-SWB Lists'!$A$1:$C$39,3,FALSE()),FALSE())),"")</f>
        <v/>
      </c>
      <c r="AN12" s="24" t="str">
        <f aca="false">IFERROR(IF(VLOOKUP($D12,'Raw Data'!$B:$DE,VLOOKUP('Non-SWB CaseList'!AN$6,'Non-SWB Lists'!$A$1:$C$39,3,FALSE()),FALSE())=0,"NA",VLOOKUP($D12,'Raw Data'!$B:$DE,VLOOKUP('Non-SWB CaseList'!AN$6,'Non-SWB Lists'!$A$1:$C$39,3,FALSE()),FALSE())),"NA")</f>
        <v>NA</v>
      </c>
      <c r="AO12" s="24" t="str">
        <f aca="false">IFERROR(IF(VLOOKUP($D12,'Raw Data'!$B:$DE,VLOOKUP('Non-SWB CaseList'!AO$6,'Non-SWB Lists'!$A$1:$C$39,3,FALSE()),FALSE())=0,"",VLOOKUP($D12,'Raw Data'!$B:$DE,VLOOKUP('Non-SWB CaseList'!AO$6,'Non-SWB Lists'!$A$1:$C$39,3,FALSE()),FALSE())),"")</f>
        <v/>
      </c>
      <c r="AP12" s="24" t="str">
        <f aca="false">IFERROR(IF(VLOOKUP($D12,'Raw Data'!$B:$DE,VLOOKUP('Non-SWB CaseList'!AP$6,'Non-SWB Lists'!$A$1:$C$39,3,FALSE()),FALSE())=0,"",VLOOKUP($D12,'Raw Data'!$B:$DE,VLOOKUP('Non-SWB CaseList'!AP$6,'Non-SWB Lists'!$A$1:$C$39,3,FALSE()),FALSE())),"")</f>
        <v/>
      </c>
      <c r="AQ12" s="24" t="str">
        <f aca="false">IFERROR(IF(VLOOKUP($D12,'Raw Data'!$B:$DE,VLOOKUP('Non-SWB CaseList'!AQ$6,'Non-SWB Lists'!$A$1:$C$39,3,FALSE()),FALSE())=0,"",VLOOKUP($D12,'Raw Data'!$B:$DE,VLOOKUP('Non-SWB CaseList'!AQ$6,'Non-SWB Lists'!$A$1:$C$39,3,FALSE()),FALSE())),"")</f>
        <v/>
      </c>
      <c r="AR12" s="24" t="str">
        <f aca="false">IFERROR(IF(VLOOKUP($D12,'Raw Data'!$B:$DE,VLOOKUP('Non-SWB CaseList'!AR$6,'Non-SWB Lists'!$A$1:$C$39,3,FALSE()),FALSE())=0,"",VLOOKUP($D12,'Raw Data'!$B:$DE,VLOOKUP('Non-SWB CaseList'!AR$6,'Non-SWB Lists'!$A$1:$C$39,3,FALSE()),FALSE())),"")</f>
        <v/>
      </c>
      <c r="AS12" s="1" t="str">
        <f aca="false">IF($D12="","",IF(OR($J12="",$J12="NA"),"Sin datos",IF(OR(ISNUMBER(SEARCH("Chihuahua",$J12)),ISNUMBER(SEARCH("Coahuila",$J12)),ISNUMBER(SEARCH("Baja California Norte",$J12)),ISNUMBER(SEARCH("Nuevo Leon",$J12)),ISNUMBER(SEARCH("Nuevo León",$J12)),ISNUMBER(SEARCH("Tamaulipas",$J12)),ISNUMBER(SEARCH("Sonora",$J12))),"Revisar: State SI es Frontera","OK - No Frontera")))</f>
        <v>Sin datos</v>
      </c>
      <c r="AT12" s="19" t="n">
        <v>10000002968989</v>
      </c>
    </row>
    <row r="13" customFormat="false" ht="14.25" hidden="false" customHeight="true" outlineLevel="0" collapsed="false">
      <c r="A13" s="13"/>
      <c r="B13" s="14" t="s">
        <v>50</v>
      </c>
      <c r="C13" s="14" t="s">
        <v>47</v>
      </c>
      <c r="D13" s="15" t="n">
        <v>12392980</v>
      </c>
      <c r="E13" s="16" t="str">
        <f aca="false">IFERROR(IF(VLOOKUP($D13,'Raw Data'!$B:$DE,VLOOKUP('Non-SWB CaseList'!E$6,'Non-SWB Lists'!$A$1:$C$39,3,FALSE()),FALSE())=0,"",VLOOKUP($D13,'Raw Data'!$B:$DE,VLOOKUP('Non-SWB CaseList'!E$6,'Non-SWB Lists'!$A$1:$C$39,3,FALSE()),FALSE())),"")</f>
        <v/>
      </c>
      <c r="F13" s="14" t="s">
        <v>48</v>
      </c>
      <c r="G13" s="17" t="str">
        <f aca="false">IFERROR(IF(VLOOKUP($D13,'Raw Data'!$B:$DE,VLOOKUP('Non-SWB CaseList'!G$6,'Non-SWB Lists'!$A$1:$C$39,3,FALSE()),FALSE())=0,"",VLOOKUP($D13,'Raw Data'!$B:$DE,VLOOKUP('Non-SWB CaseList'!G$6,'Non-SWB Lists'!$A$1:$C$39,3,FALSE()),FALSE())),"")</f>
        <v/>
      </c>
      <c r="H13" s="17" t="str">
        <f aca="false">IFERROR(IF(VLOOKUP($D13,'Raw Data'!$B:$DE,VLOOKUP('Non-SWB CaseList'!H$6,'Non-SWB Lists'!$A$1:$C$39,3,FALSE()),FALSE())=0,"",VLOOKUP($D13,'Raw Data'!$B:$DE,VLOOKUP('Non-SWB CaseList'!H$6,'Non-SWB Lists'!$A$1:$C$39,3,FALSE()),FALSE())),"")</f>
        <v/>
      </c>
      <c r="I13" s="17" t="str">
        <f aca="false">IFERROR(IF(VLOOKUP($D13,'Raw Data'!$B:$DE,VLOOKUP('Non-SWB CaseList'!I$6,'Non-SWB Lists'!$A$1:$C$39,3,FALSE()),FALSE())=0,"",VLOOKUP($D13,'Raw Data'!$B:$DE,VLOOKUP('Non-SWB CaseList'!I$6,'Non-SWB Lists'!$A$1:$C$39,3,FALSE()),FALSE())),"")</f>
        <v/>
      </c>
      <c r="J13" s="17" t="str">
        <f aca="false">IFERROR(IF(VLOOKUP($D13,'Raw Data'!$B:$DE,VLOOKUP('Non-SWB CaseList'!J$6,'Non-SWB Lists'!$A$1:$C$39,3,FALSE()),FALSE())=0,"",VLOOKUP($D13,'Raw Data'!$B:$DE,VLOOKUP('Non-SWB CaseList'!J$6,'Non-SWB Lists'!$A$1:$C$39,3,FALSE()),FALSE())),"")</f>
        <v/>
      </c>
      <c r="K13" s="17" t="str">
        <f aca="false">IFERROR(IF(VLOOKUP($D13,'Raw Data'!$B:$DE,VLOOKUP('Non-SWB CaseList'!K$6,'Non-SWB Lists'!$A$1:$C$39,3,FALSE()),FALSE())=0,"",VLOOKUP($D13,'Raw Data'!$B:$DE,VLOOKUP('Non-SWB CaseList'!K$6,'Non-SWB Lists'!$A$1:$C$39,3,FALSE()),FALSE())),"")</f>
        <v/>
      </c>
      <c r="L13" s="17" t="str">
        <f aca="false">IFERROR(IF(VLOOKUP($D13,'Raw Data'!$B:$DE,VLOOKUP('Non-SWB CaseList'!L$6,'Non-SWB Lists'!$A$1:$C$39,3,FALSE()),FALSE())=0,"",VLOOKUP($D13,'Raw Data'!$B:$DE,VLOOKUP('Non-SWB CaseList'!L$6,'Non-SWB Lists'!$A$1:$C$39,3,FALSE()),FALSE())),"")</f>
        <v/>
      </c>
      <c r="M13" s="17" t="str">
        <f aca="false">IFERROR(IF(VLOOKUP($D13,'Raw Data'!$B:$DE,VLOOKUP('Non-SWB CaseList'!M$6,'Non-SWB Lists'!$A$1:$C$39,3,FALSE()),FALSE())=0,"",VLOOKUP($D13,'Raw Data'!$B:$DE,VLOOKUP('Non-SWB CaseList'!M$6,'Non-SWB Lists'!$A$1:$C$39,3,FALSE()),FALSE())),"")</f>
        <v/>
      </c>
      <c r="N13" s="17" t="str">
        <f aca="false">IFERROR(IF(VLOOKUP($D13,'Raw Data'!$B:$DE,VLOOKUP('Non-SWB CaseList'!N$6,'Non-SWB Lists'!$A$1:$C$39,3,FALSE()),FALSE())=0,"",VLOOKUP($D13,'Raw Data'!$B:$DE,VLOOKUP('Non-SWB CaseList'!N$6,'Non-SWB Lists'!$A$1:$C$39,3,FALSE()),FALSE())),"")</f>
        <v/>
      </c>
      <c r="O13" s="18" t="str">
        <f aca="false">IFERROR(IF(VLOOKUP($D13,'Raw Data'!$B:$DE,VLOOKUP('Non-SWB CaseList'!O$6,'Non-SWB Lists'!$A$1:$C$39,3,FALSE()),FALSE())=0,"",VLOOKUP($D13,'Raw Data'!$B:$DE,VLOOKUP('Non-SWB CaseList'!O$6,'Non-SWB Lists'!$A$1:$C$39,3,FALSE()),FALSE())),"")</f>
        <v/>
      </c>
      <c r="P13" s="18" t="str">
        <f aca="false">IFERROR(IF(VLOOKUP($D13,'Raw Data'!$B:$DE,VLOOKUP('Non-SWB CaseList'!P$6,'Non-SWB Lists'!$A$1:$C$39,3,FALSE()),FALSE())=0,"",VLOOKUP($D13,'Raw Data'!$B:$DE,VLOOKUP('Non-SWB CaseList'!P$6,'Non-SWB Lists'!$A$1:$C$39,3,FALSE()),FALSE())),"")</f>
        <v/>
      </c>
      <c r="Q13" s="18" t="str">
        <f aca="false">IFERROR(IF(VLOOKUP($D13,'Raw Data'!$B:$DE,VLOOKUP('Non-SWB CaseList'!Q$6,'Non-SWB Lists'!$A$1:$C$39,3,FALSE()),FALSE())=0,"",VLOOKUP($D13,'Raw Data'!$B:$DE,VLOOKUP('Non-SWB CaseList'!Q$6,'Non-SWB Lists'!$A$1:$C$39,3,FALSE()),FALSE())),"")</f>
        <v/>
      </c>
      <c r="R13" s="18" t="str">
        <f aca="false">IFERROR(IF(VLOOKUP($D13,'Raw Data'!$B:$DE,VLOOKUP('Non-SWB CaseList'!R$6,'Non-SWB Lists'!$A$1:$C$39,3,FALSE()),FALSE())=0,"",VLOOKUP($D13,'Raw Data'!$B:$DE,VLOOKUP('Non-SWB CaseList'!R$6,'Non-SWB Lists'!$A$1:$C$39,3,FALSE()),FALSE())),"")</f>
        <v/>
      </c>
      <c r="S13" s="18" t="str">
        <f aca="false">IFERROR(IF(VLOOKUP($D13,'Raw Data'!$B:$DE,VLOOKUP('Non-SWB CaseList'!S$6,'Non-SWB Lists'!$A$1:$C$39,3,FALSE()),FALSE())=0,"",VLOOKUP($D13,'Raw Data'!$B:$DE,VLOOKUP('Non-SWB CaseList'!S$6,'Non-SWB Lists'!$A$1:$C$39,3,FALSE()),FALSE())),"")</f>
        <v/>
      </c>
      <c r="T13" s="18" t="str">
        <f aca="false">IFERROR(IF(VLOOKUP($D13,'Raw Data'!$B:$DE,VLOOKUP('Non-SWB CaseList'!T$6,'Non-SWB Lists'!$A$1:$C$39,3,FALSE()),FALSE())=0,"",VLOOKUP($D13,'Raw Data'!$B:$DE,VLOOKUP('Non-SWB CaseList'!T$6,'Non-SWB Lists'!$A$1:$C$39,3,FALSE()),FALSE())),"")</f>
        <v/>
      </c>
      <c r="U13" s="18" t="str">
        <f aca="false">IFERROR(IF(VLOOKUP($D13,'Raw Data'!$B:$DE,VLOOKUP('Non-SWB CaseList'!U$6,'Non-SWB Lists'!$A$1:$C$39,3,FALSE()),FALSE())=0,"",VLOOKUP($D13,'Raw Data'!$B:$DE,VLOOKUP('Non-SWB CaseList'!U$6,'Non-SWB Lists'!$A$1:$C$39,3,FALSE()),FALSE())),"")</f>
        <v/>
      </c>
      <c r="V13" s="18" t="str">
        <f aca="false">IFERROR(IF(VLOOKUP($D13,'Raw Data'!$B:$DE,VLOOKUP('Non-SWB CaseList'!V$6,'Non-SWB Lists'!$A$1:$C$39,3,FALSE()),FALSE())=0,"",VLOOKUP($D13,'Raw Data'!$B:$DE,VLOOKUP('Non-SWB CaseList'!V$6,'Non-SWB Lists'!$A$1:$C$39,3,FALSE()),FALSE())),"")</f>
        <v/>
      </c>
      <c r="W13" s="18" t="str">
        <f aca="false">IFERROR(IF(VLOOKUP($D13,'Raw Data'!$B:$DE,VLOOKUP('Non-SWB CaseList'!W$6,'Non-SWB Lists'!$A$1:$C$39,3,FALSE()),FALSE())=0,"",VLOOKUP($D13,'Raw Data'!$B:$DE,VLOOKUP('Non-SWB CaseList'!W$6,'Non-SWB Lists'!$A$1:$C$39,3,FALSE()),FALSE())),"")</f>
        <v/>
      </c>
      <c r="X13" s="18" t="str">
        <f aca="false">IFERROR(IF(VLOOKUP($D13,'Raw Data'!$B:$DE,VLOOKUP('Non-SWB CaseList'!X$6,'Non-SWB Lists'!$A$1:$C$39,3,FALSE()),FALSE())=0,"",VLOOKUP($D13,'Raw Data'!$B:$DE,VLOOKUP('Non-SWB CaseList'!X$6,'Non-SWB Lists'!$A$1:$C$39,3,FALSE()),FALSE())),"")</f>
        <v/>
      </c>
      <c r="Y13" s="18" t="str">
        <f aca="false">IFERROR(IF(VLOOKUP($D13,'Raw Data'!$B:$DE,VLOOKUP('Non-SWB CaseList'!Y$6,'Non-SWB Lists'!$A$1:$C$39,3,FALSE()),FALSE())=0,"",VLOOKUP($D13,'Raw Data'!$B:$DE,VLOOKUP('Non-SWB CaseList'!Y$6,'Non-SWB Lists'!$A$1:$C$39,3,FALSE()),FALSE())),"")</f>
        <v/>
      </c>
      <c r="Z13" s="18" t="str">
        <f aca="false">IFERROR(IF(VLOOKUP($D13,'Raw Data'!$B:$DE,VLOOKUP('Non-SWB CaseList'!Z$6,'Non-SWB Lists'!$A$1:$C$39,3,FALSE()),FALSE())=0,"",VLOOKUP($D13,'Raw Data'!$B:$DE,VLOOKUP('Non-SWB CaseList'!Z$6,'Non-SWB Lists'!$A$1:$C$39,3,FALSE()),FALSE())),"")</f>
        <v/>
      </c>
      <c r="AA13" s="18" t="str">
        <f aca="false">IFERROR(IF(VLOOKUP($D13,'Raw Data'!$B:$DE,VLOOKUP('Non-SWB CaseList'!AA$6,'Non-SWB Lists'!$A$1:$C$39,3,FALSE()),FALSE())=0,"",VLOOKUP($D13,'Raw Data'!$B:$DE,VLOOKUP('Non-SWB CaseList'!AA$6,'Non-SWB Lists'!$A$1:$C$39,3,FALSE()),FALSE())),"")</f>
        <v/>
      </c>
      <c r="AB13" s="18" t="str">
        <f aca="false">IFERROR(IF(VLOOKUP($D13,'Raw Data'!$B:$DE,VLOOKUP('Non-SWB CaseList'!AB$6,'Non-SWB Lists'!$A$1:$C$39,3,FALSE()),FALSE())=0,"",VLOOKUP($D13,'Raw Data'!$B:$DE,VLOOKUP('Non-SWB CaseList'!AB$6,'Non-SWB Lists'!$A$1:$C$39,3,FALSE()),FALSE())),"")</f>
        <v/>
      </c>
      <c r="AC13" s="18" t="str">
        <f aca="false">IFERROR(IF(VLOOKUP($D13,'Raw Data'!$B:$DE,VLOOKUP('Non-SWB CaseList'!AC$6,'Non-SWB Lists'!$A$1:$C$39,3,FALSE()),FALSE())=0,"",VLOOKUP($D13,'Raw Data'!$B:$DE,VLOOKUP('Non-SWB CaseList'!AC$6,'Non-SWB Lists'!$A$1:$C$39,3,FALSE()),FALSE())),"")</f>
        <v/>
      </c>
      <c r="AD13" s="18" t="str">
        <f aca="false">IFERROR(IF(VLOOKUP($D13,'Raw Data'!$B:$DE,VLOOKUP('Non-SWB CaseList'!AD$6,'Non-SWB Lists'!$A$1:$C$39,3,FALSE()),FALSE())=0,"",VLOOKUP($D13,'Raw Data'!$B:$DE,VLOOKUP('Non-SWB CaseList'!AD$6,'Non-SWB Lists'!$A$1:$C$39,3,FALSE()),FALSE())),"")</f>
        <v/>
      </c>
      <c r="AE13" s="18" t="str">
        <f aca="false">IFERROR(IF(VLOOKUP($D13,'Raw Data'!$B:$DE,VLOOKUP('Non-SWB CaseList'!AE$6,'Non-SWB Lists'!$A$1:$C$39,3,FALSE()),FALSE())=0,"",VLOOKUP($D13,'Raw Data'!$B:$DE,VLOOKUP('Non-SWB CaseList'!AE$6,'Non-SWB Lists'!$A$1:$C$39,3,FALSE()),FALSE())),"")</f>
        <v/>
      </c>
      <c r="AF13" s="18" t="str">
        <f aca="false">IFERROR(IF(VLOOKUP($D13,'Raw Data'!$B:$DE,VLOOKUP('Non-SWB CaseList'!AF$6,'Non-SWB Lists'!$A$1:$C$39,3,FALSE()),FALSE())=0,"",VLOOKUP($D13,'Raw Data'!$B:$DE,VLOOKUP('Non-SWB CaseList'!AF$6,'Non-SWB Lists'!$A$1:$C$39,3,FALSE()),FALSE())),"")</f>
        <v/>
      </c>
      <c r="AG13" s="18" t="str">
        <f aca="false">IFERROR(IF(VLOOKUP($D13,'Raw Data'!$B:$DE,VLOOKUP('Non-SWB CaseList'!AG$6,'Non-SWB Lists'!$A$1:$C$39,3,FALSE()),FALSE())=0,"",VLOOKUP($D13,'Raw Data'!$B:$DE,VLOOKUP('Non-SWB CaseList'!AG$6,'Non-SWB Lists'!$A$1:$C$39,3,FALSE()),FALSE())),"")</f>
        <v/>
      </c>
      <c r="AH13" s="18" t="str">
        <f aca="false">IFERROR(IF(VLOOKUP($D13,'Raw Data'!$B:$DE,VLOOKUP('Non-SWB CaseList'!AH$6,'Non-SWB Lists'!$A$1:$C$39,3,FALSE()),FALSE())=0,"",VLOOKUP($D13,'Raw Data'!$B:$DE,VLOOKUP('Non-SWB CaseList'!AH$6,'Non-SWB Lists'!$A$1:$C$39,3,FALSE()),FALSE())),"")</f>
        <v/>
      </c>
      <c r="AI13" s="18" t="str">
        <f aca="false">IFERROR(IF(VLOOKUP($D13,'Raw Data'!$B:$DE,VLOOKUP('Non-SWB CaseList'!AI$6,'Non-SWB Lists'!$A$1:$C$39,3,FALSE()),FALSE())=0,"",VLOOKUP($D13,'Raw Data'!$B:$DE,VLOOKUP('Non-SWB CaseList'!AI$6,'Non-SWB Lists'!$A$1:$C$39,3,FALSE()),FALSE())),"")</f>
        <v/>
      </c>
      <c r="AJ13" s="18" t="str">
        <f aca="false">IFERROR(IF(VLOOKUP($D13,'Raw Data'!$B:$DE,VLOOKUP('Non-SWB CaseList'!AJ$6,'Non-SWB Lists'!$A$1:$C$39,3,FALSE()),FALSE())=0,"",VLOOKUP($D13,'Raw Data'!$B:$DE,VLOOKUP('Non-SWB CaseList'!AJ$6,'Non-SWB Lists'!$A$1:$C$39,3,FALSE()),FALSE())),"")</f>
        <v/>
      </c>
      <c r="AK13" s="18" t="str">
        <f aca="false">IFERROR(IF(VLOOKUP($D13,'Raw Data'!$B:$DE,VLOOKUP('Non-SWB CaseList'!AK$6,'Non-SWB Lists'!$A$1:$C$39,3,FALSE()),FALSE())=0,"",VLOOKUP($D13,'Raw Data'!$B:$DE,VLOOKUP('Non-SWB CaseList'!AK$6,'Non-SWB Lists'!$A$1:$C$39,3,FALSE()),FALSE())),"")</f>
        <v/>
      </c>
      <c r="AL13" s="18" t="str">
        <f aca="false">IFERROR(IF(VLOOKUP($D13,'Raw Data'!$B:$DE,VLOOKUP('Non-SWB CaseList'!AL$6,'Non-SWB Lists'!$A$1:$C$39,3,FALSE()),FALSE())=0,"",VLOOKUP($D13,'Raw Data'!$B:$DE,VLOOKUP('Non-SWB CaseList'!AL$6,'Non-SWB Lists'!$A$1:$C$39,3,FALSE()),FALSE())),"")</f>
        <v/>
      </c>
      <c r="AM13" s="18" t="str">
        <f aca="false">IFERROR(IF(VLOOKUP($D13,'Raw Data'!$B:$DE,VLOOKUP('Non-SWB CaseList'!AM$6,'Non-SWB Lists'!$A$1:$C$39,3,FALSE()),FALSE())=0,"",VLOOKUP($D13,'Raw Data'!$B:$DE,VLOOKUP('Non-SWB CaseList'!AM$6,'Non-SWB Lists'!$A$1:$C$39,3,FALSE()),FALSE())),"")</f>
        <v/>
      </c>
      <c r="AN13" s="18" t="str">
        <f aca="false">IFERROR(IF(VLOOKUP($D13,'Raw Data'!$B:$DE,VLOOKUP('Non-SWB CaseList'!AN$6,'Non-SWB Lists'!$A$1:$C$39,3,FALSE()),FALSE())=0,"NA",VLOOKUP($D13,'Raw Data'!$B:$DE,VLOOKUP('Non-SWB CaseList'!AN$6,'Non-SWB Lists'!$A$1:$C$39,3,FALSE()),FALSE())),"NA")</f>
        <v>NA</v>
      </c>
      <c r="AO13" s="18" t="str">
        <f aca="false">IFERROR(IF(VLOOKUP($D13,'Raw Data'!$B:$DE,VLOOKUP('Non-SWB CaseList'!AO$6,'Non-SWB Lists'!$A$1:$C$39,3,FALSE()),FALSE())=0,"",VLOOKUP($D13,'Raw Data'!$B:$DE,VLOOKUP('Non-SWB CaseList'!AO$6,'Non-SWB Lists'!$A$1:$C$39,3,FALSE()),FALSE())),"")</f>
        <v/>
      </c>
      <c r="AP13" s="18" t="str">
        <f aca="false">IFERROR(IF(VLOOKUP($D13,'Raw Data'!$B:$DE,VLOOKUP('Non-SWB CaseList'!AP$6,'Non-SWB Lists'!$A$1:$C$39,3,FALSE()),FALSE())=0,"",VLOOKUP($D13,'Raw Data'!$B:$DE,VLOOKUP('Non-SWB CaseList'!AP$6,'Non-SWB Lists'!$A$1:$C$39,3,FALSE()),FALSE())),"")</f>
        <v/>
      </c>
      <c r="AQ13" s="18" t="str">
        <f aca="false">IFERROR(IF(VLOOKUP($D13,'Raw Data'!$B:$DE,VLOOKUP('Non-SWB CaseList'!AQ$6,'Non-SWB Lists'!$A$1:$C$39,3,FALSE()),FALSE())=0,"",VLOOKUP($D13,'Raw Data'!$B:$DE,VLOOKUP('Non-SWB CaseList'!AQ$6,'Non-SWB Lists'!$A$1:$C$39,3,FALSE()),FALSE())),"")</f>
        <v/>
      </c>
      <c r="AR13" s="18" t="str">
        <f aca="false">IFERROR(IF(VLOOKUP($D13,'Raw Data'!$B:$DE,VLOOKUP('Non-SWB CaseList'!AR$6,'Non-SWB Lists'!$A$1:$C$39,3,FALSE()),FALSE())=0,"",VLOOKUP($D13,'Raw Data'!$B:$DE,VLOOKUP('Non-SWB CaseList'!AR$6,'Non-SWB Lists'!$A$1:$C$39,3,FALSE()),FALSE())),"")</f>
        <v/>
      </c>
      <c r="AS13" s="1" t="str">
        <f aca="false">IF($D13="","",IF(OR($J13="",$J13="NA"),"Sin datos",IF(OR(ISNUMBER(SEARCH("Chihuahua",$J13)),ISNUMBER(SEARCH("Coahuila",$J13)),ISNUMBER(SEARCH("Baja California Norte",$J13)),ISNUMBER(SEARCH("Nuevo Leon",$J13)),ISNUMBER(SEARCH("Nuevo León",$J13)),ISNUMBER(SEARCH("Tamaulipas",$J13)),ISNUMBER(SEARCH("Sonora",$J13))),"Revisar: State SI es Frontera","OK - No Frontera")))</f>
        <v>Sin datos</v>
      </c>
    </row>
    <row r="14" customFormat="false" ht="14.25" hidden="false" customHeight="true" outlineLevel="0" collapsed="false">
      <c r="A14" s="13"/>
      <c r="B14" s="14" t="s">
        <v>51</v>
      </c>
      <c r="C14" s="14" t="s">
        <v>47</v>
      </c>
      <c r="D14" s="15" t="n">
        <v>12392978</v>
      </c>
      <c r="E14" s="16" t="str">
        <f aca="false">IFERROR(IF(VLOOKUP($D14,'Raw Data'!$B:$DE,VLOOKUP('Non-SWB CaseList'!E$6,'Non-SWB Lists'!$A$1:$C$39,3,FALSE()),FALSE())=0,"",VLOOKUP($D14,'Raw Data'!$B:$DE,VLOOKUP('Non-SWB CaseList'!E$6,'Non-SWB Lists'!$A$1:$C$39,3,FALSE()),FALSE())),"")</f>
        <v/>
      </c>
      <c r="F14" s="14" t="s">
        <v>48</v>
      </c>
      <c r="G14" s="17" t="str">
        <f aca="false">IFERROR(IF(VLOOKUP($D14,'Raw Data'!$B:$DE,VLOOKUP('Non-SWB CaseList'!G$6,'Non-SWB Lists'!$A$1:$C$39,3,FALSE()),FALSE())=0,"",VLOOKUP($D14,'Raw Data'!$B:$DE,VLOOKUP('Non-SWB CaseList'!G$6,'Non-SWB Lists'!$A$1:$C$39,3,FALSE()),FALSE())),"")</f>
        <v/>
      </c>
      <c r="H14" s="17" t="str">
        <f aca="false">IFERROR(IF(VLOOKUP($D14,'Raw Data'!$B:$DE,VLOOKUP('Non-SWB CaseList'!H$6,'Non-SWB Lists'!$A$1:$C$39,3,FALSE()),FALSE())=0,"",VLOOKUP($D14,'Raw Data'!$B:$DE,VLOOKUP('Non-SWB CaseList'!H$6,'Non-SWB Lists'!$A$1:$C$39,3,FALSE()),FALSE())),"")</f>
        <v/>
      </c>
      <c r="I14" s="17" t="str">
        <f aca="false">IFERROR(IF(VLOOKUP($D14,'Raw Data'!$B:$DE,VLOOKUP('Non-SWB CaseList'!I$6,'Non-SWB Lists'!$A$1:$C$39,3,FALSE()),FALSE())=0,"",VLOOKUP($D14,'Raw Data'!$B:$DE,VLOOKUP('Non-SWB CaseList'!I$6,'Non-SWB Lists'!$A$1:$C$39,3,FALSE()),FALSE())),"")</f>
        <v/>
      </c>
      <c r="J14" s="17" t="str">
        <f aca="false">IFERROR(IF(VLOOKUP($D14,'Raw Data'!$B:$DE,VLOOKUP('Non-SWB CaseList'!J$6,'Non-SWB Lists'!$A$1:$C$39,3,FALSE()),FALSE())=0,"",VLOOKUP($D14,'Raw Data'!$B:$DE,VLOOKUP('Non-SWB CaseList'!J$6,'Non-SWB Lists'!$A$1:$C$39,3,FALSE()),FALSE())),"")</f>
        <v/>
      </c>
      <c r="K14" s="17" t="str">
        <f aca="false">IFERROR(IF(VLOOKUP($D14,'Raw Data'!$B:$DE,VLOOKUP('Non-SWB CaseList'!K$6,'Non-SWB Lists'!$A$1:$C$39,3,FALSE()),FALSE())=0,"",VLOOKUP($D14,'Raw Data'!$B:$DE,VLOOKUP('Non-SWB CaseList'!K$6,'Non-SWB Lists'!$A$1:$C$39,3,FALSE()),FALSE())),"")</f>
        <v/>
      </c>
      <c r="L14" s="17" t="str">
        <f aca="false">IFERROR(IF(VLOOKUP($D14,'Raw Data'!$B:$DE,VLOOKUP('Non-SWB CaseList'!L$6,'Non-SWB Lists'!$A$1:$C$39,3,FALSE()),FALSE())=0,"",VLOOKUP($D14,'Raw Data'!$B:$DE,VLOOKUP('Non-SWB CaseList'!L$6,'Non-SWB Lists'!$A$1:$C$39,3,FALSE()),FALSE())),"")</f>
        <v/>
      </c>
      <c r="M14" s="17" t="str">
        <f aca="false">IFERROR(IF(VLOOKUP($D14,'Raw Data'!$B:$DE,VLOOKUP('Non-SWB CaseList'!M$6,'Non-SWB Lists'!$A$1:$C$39,3,FALSE()),FALSE())=0,"",VLOOKUP($D14,'Raw Data'!$B:$DE,VLOOKUP('Non-SWB CaseList'!M$6,'Non-SWB Lists'!$A$1:$C$39,3,FALSE()),FALSE())),"")</f>
        <v/>
      </c>
      <c r="N14" s="17" t="str">
        <f aca="false">IFERROR(IF(VLOOKUP($D14,'Raw Data'!$B:$DE,VLOOKUP('Non-SWB CaseList'!N$6,'Non-SWB Lists'!$A$1:$C$39,3,FALSE()),FALSE())=0,"",VLOOKUP($D14,'Raw Data'!$B:$DE,VLOOKUP('Non-SWB CaseList'!N$6,'Non-SWB Lists'!$A$1:$C$39,3,FALSE()),FALSE())),"")</f>
        <v/>
      </c>
      <c r="O14" s="18" t="str">
        <f aca="false">IFERROR(IF(VLOOKUP($D14,'Raw Data'!$B:$DE,VLOOKUP('Non-SWB CaseList'!O$6,'Non-SWB Lists'!$A$1:$C$39,3,FALSE()),FALSE())=0,"",VLOOKUP($D14,'Raw Data'!$B:$DE,VLOOKUP('Non-SWB CaseList'!O$6,'Non-SWB Lists'!$A$1:$C$39,3,FALSE()),FALSE())),"")</f>
        <v/>
      </c>
      <c r="P14" s="18" t="str">
        <f aca="false">IFERROR(IF(VLOOKUP($D14,'Raw Data'!$B:$DE,VLOOKUP('Non-SWB CaseList'!P$6,'Non-SWB Lists'!$A$1:$C$39,3,FALSE()),FALSE())=0,"",VLOOKUP($D14,'Raw Data'!$B:$DE,VLOOKUP('Non-SWB CaseList'!P$6,'Non-SWB Lists'!$A$1:$C$39,3,FALSE()),FALSE())),"")</f>
        <v/>
      </c>
      <c r="Q14" s="18" t="str">
        <f aca="false">IFERROR(IF(VLOOKUP($D14,'Raw Data'!$B:$DE,VLOOKUP('Non-SWB CaseList'!Q$6,'Non-SWB Lists'!$A$1:$C$39,3,FALSE()),FALSE())=0,"",VLOOKUP($D14,'Raw Data'!$B:$DE,VLOOKUP('Non-SWB CaseList'!Q$6,'Non-SWB Lists'!$A$1:$C$39,3,FALSE()),FALSE())),"")</f>
        <v/>
      </c>
      <c r="R14" s="18" t="str">
        <f aca="false">IFERROR(IF(VLOOKUP($D14,'Raw Data'!$B:$DE,VLOOKUP('Non-SWB CaseList'!R$6,'Non-SWB Lists'!$A$1:$C$39,3,FALSE()),FALSE())=0,"",VLOOKUP($D14,'Raw Data'!$B:$DE,VLOOKUP('Non-SWB CaseList'!R$6,'Non-SWB Lists'!$A$1:$C$39,3,FALSE()),FALSE())),"")</f>
        <v/>
      </c>
      <c r="S14" s="18" t="str">
        <f aca="false">IFERROR(IF(VLOOKUP($D14,'Raw Data'!$B:$DE,VLOOKUP('Non-SWB CaseList'!S$6,'Non-SWB Lists'!$A$1:$C$39,3,FALSE()),FALSE())=0,"",VLOOKUP($D14,'Raw Data'!$B:$DE,VLOOKUP('Non-SWB CaseList'!S$6,'Non-SWB Lists'!$A$1:$C$39,3,FALSE()),FALSE())),"")</f>
        <v/>
      </c>
      <c r="T14" s="18" t="str">
        <f aca="false">IFERROR(IF(VLOOKUP($D14,'Raw Data'!$B:$DE,VLOOKUP('Non-SWB CaseList'!T$6,'Non-SWB Lists'!$A$1:$C$39,3,FALSE()),FALSE())=0,"",VLOOKUP($D14,'Raw Data'!$B:$DE,VLOOKUP('Non-SWB CaseList'!T$6,'Non-SWB Lists'!$A$1:$C$39,3,FALSE()),FALSE())),"")</f>
        <v/>
      </c>
      <c r="U14" s="18" t="str">
        <f aca="false">IFERROR(IF(VLOOKUP($D14,'Raw Data'!$B:$DE,VLOOKUP('Non-SWB CaseList'!U$6,'Non-SWB Lists'!$A$1:$C$39,3,FALSE()),FALSE())=0,"",VLOOKUP($D14,'Raw Data'!$B:$DE,VLOOKUP('Non-SWB CaseList'!U$6,'Non-SWB Lists'!$A$1:$C$39,3,FALSE()),FALSE())),"")</f>
        <v/>
      </c>
      <c r="V14" s="18" t="str">
        <f aca="false">IFERROR(IF(VLOOKUP($D14,'Raw Data'!$B:$DE,VLOOKUP('Non-SWB CaseList'!V$6,'Non-SWB Lists'!$A$1:$C$39,3,FALSE()),FALSE())=0,"",VLOOKUP($D14,'Raw Data'!$B:$DE,VLOOKUP('Non-SWB CaseList'!V$6,'Non-SWB Lists'!$A$1:$C$39,3,FALSE()),FALSE())),"")</f>
        <v/>
      </c>
      <c r="W14" s="18" t="str">
        <f aca="false">IFERROR(IF(VLOOKUP($D14,'Raw Data'!$B:$DE,VLOOKUP('Non-SWB CaseList'!W$6,'Non-SWB Lists'!$A$1:$C$39,3,FALSE()),FALSE())=0,"",VLOOKUP($D14,'Raw Data'!$B:$DE,VLOOKUP('Non-SWB CaseList'!W$6,'Non-SWB Lists'!$A$1:$C$39,3,FALSE()),FALSE())),"")</f>
        <v/>
      </c>
      <c r="X14" s="18" t="str">
        <f aca="false">IFERROR(IF(VLOOKUP($D14,'Raw Data'!$B:$DE,VLOOKUP('Non-SWB CaseList'!X$6,'Non-SWB Lists'!$A$1:$C$39,3,FALSE()),FALSE())=0,"",VLOOKUP($D14,'Raw Data'!$B:$DE,VLOOKUP('Non-SWB CaseList'!X$6,'Non-SWB Lists'!$A$1:$C$39,3,FALSE()),FALSE())),"")</f>
        <v/>
      </c>
      <c r="Y14" s="18" t="str">
        <f aca="false">IFERROR(IF(VLOOKUP($D14,'Raw Data'!$B:$DE,VLOOKUP('Non-SWB CaseList'!Y$6,'Non-SWB Lists'!$A$1:$C$39,3,FALSE()),FALSE())=0,"",VLOOKUP($D14,'Raw Data'!$B:$DE,VLOOKUP('Non-SWB CaseList'!Y$6,'Non-SWB Lists'!$A$1:$C$39,3,FALSE()),FALSE())),"")</f>
        <v/>
      </c>
      <c r="Z14" s="18" t="str">
        <f aca="false">IFERROR(IF(VLOOKUP($D14,'Raw Data'!$B:$DE,VLOOKUP('Non-SWB CaseList'!Z$6,'Non-SWB Lists'!$A$1:$C$39,3,FALSE()),FALSE())=0,"",VLOOKUP($D14,'Raw Data'!$B:$DE,VLOOKUP('Non-SWB CaseList'!Z$6,'Non-SWB Lists'!$A$1:$C$39,3,FALSE()),FALSE())),"")</f>
        <v/>
      </c>
      <c r="AA14" s="18" t="str">
        <f aca="false">IFERROR(IF(VLOOKUP($D14,'Raw Data'!$B:$DE,VLOOKUP('Non-SWB CaseList'!AA$6,'Non-SWB Lists'!$A$1:$C$39,3,FALSE()),FALSE())=0,"",VLOOKUP($D14,'Raw Data'!$B:$DE,VLOOKUP('Non-SWB CaseList'!AA$6,'Non-SWB Lists'!$A$1:$C$39,3,FALSE()),FALSE())),"")</f>
        <v/>
      </c>
      <c r="AB14" s="18" t="str">
        <f aca="false">IFERROR(IF(VLOOKUP($D14,'Raw Data'!$B:$DE,VLOOKUP('Non-SWB CaseList'!AB$6,'Non-SWB Lists'!$A$1:$C$39,3,FALSE()),FALSE())=0,"",VLOOKUP($D14,'Raw Data'!$B:$DE,VLOOKUP('Non-SWB CaseList'!AB$6,'Non-SWB Lists'!$A$1:$C$39,3,FALSE()),FALSE())),"")</f>
        <v/>
      </c>
      <c r="AC14" s="18" t="str">
        <f aca="false">IFERROR(IF(VLOOKUP($D14,'Raw Data'!$B:$DE,VLOOKUP('Non-SWB CaseList'!AC$6,'Non-SWB Lists'!$A$1:$C$39,3,FALSE()),FALSE())=0,"",VLOOKUP($D14,'Raw Data'!$B:$DE,VLOOKUP('Non-SWB CaseList'!AC$6,'Non-SWB Lists'!$A$1:$C$39,3,FALSE()),FALSE())),"")</f>
        <v/>
      </c>
      <c r="AD14" s="18" t="str">
        <f aca="false">IFERROR(IF(VLOOKUP($D14,'Raw Data'!$B:$DE,VLOOKUP('Non-SWB CaseList'!AD$6,'Non-SWB Lists'!$A$1:$C$39,3,FALSE()),FALSE())=0,"",VLOOKUP($D14,'Raw Data'!$B:$DE,VLOOKUP('Non-SWB CaseList'!AD$6,'Non-SWB Lists'!$A$1:$C$39,3,FALSE()),FALSE())),"")</f>
        <v/>
      </c>
      <c r="AE14" s="18" t="str">
        <f aca="false">IFERROR(IF(VLOOKUP($D14,'Raw Data'!$B:$DE,VLOOKUP('Non-SWB CaseList'!AE$6,'Non-SWB Lists'!$A$1:$C$39,3,FALSE()),FALSE())=0,"",VLOOKUP($D14,'Raw Data'!$B:$DE,VLOOKUP('Non-SWB CaseList'!AE$6,'Non-SWB Lists'!$A$1:$C$39,3,FALSE()),FALSE())),"")</f>
        <v/>
      </c>
      <c r="AF14" s="18" t="str">
        <f aca="false">IFERROR(IF(VLOOKUP($D14,'Raw Data'!$B:$DE,VLOOKUP('Non-SWB CaseList'!AF$6,'Non-SWB Lists'!$A$1:$C$39,3,FALSE()),FALSE())=0,"",VLOOKUP($D14,'Raw Data'!$B:$DE,VLOOKUP('Non-SWB CaseList'!AF$6,'Non-SWB Lists'!$A$1:$C$39,3,FALSE()),FALSE())),"")</f>
        <v/>
      </c>
      <c r="AG14" s="18" t="str">
        <f aca="false">IFERROR(IF(VLOOKUP($D14,'Raw Data'!$B:$DE,VLOOKUP('Non-SWB CaseList'!AG$6,'Non-SWB Lists'!$A$1:$C$39,3,FALSE()),FALSE())=0,"",VLOOKUP($D14,'Raw Data'!$B:$DE,VLOOKUP('Non-SWB CaseList'!AG$6,'Non-SWB Lists'!$A$1:$C$39,3,FALSE()),FALSE())),"")</f>
        <v/>
      </c>
      <c r="AH14" s="18" t="str">
        <f aca="false">IFERROR(IF(VLOOKUP($D14,'Raw Data'!$B:$DE,VLOOKUP('Non-SWB CaseList'!AH$6,'Non-SWB Lists'!$A$1:$C$39,3,FALSE()),FALSE())=0,"",VLOOKUP($D14,'Raw Data'!$B:$DE,VLOOKUP('Non-SWB CaseList'!AH$6,'Non-SWB Lists'!$A$1:$C$39,3,FALSE()),FALSE())),"")</f>
        <v/>
      </c>
      <c r="AI14" s="18" t="str">
        <f aca="false">IFERROR(IF(VLOOKUP($D14,'Raw Data'!$B:$DE,VLOOKUP('Non-SWB CaseList'!AI$6,'Non-SWB Lists'!$A$1:$C$39,3,FALSE()),FALSE())=0,"",VLOOKUP($D14,'Raw Data'!$B:$DE,VLOOKUP('Non-SWB CaseList'!AI$6,'Non-SWB Lists'!$A$1:$C$39,3,FALSE()),FALSE())),"")</f>
        <v/>
      </c>
      <c r="AJ14" s="18" t="str">
        <f aca="false">IFERROR(IF(VLOOKUP($D14,'Raw Data'!$B:$DE,VLOOKUP('Non-SWB CaseList'!AJ$6,'Non-SWB Lists'!$A$1:$C$39,3,FALSE()),FALSE())=0,"",VLOOKUP($D14,'Raw Data'!$B:$DE,VLOOKUP('Non-SWB CaseList'!AJ$6,'Non-SWB Lists'!$A$1:$C$39,3,FALSE()),FALSE())),"")</f>
        <v/>
      </c>
      <c r="AK14" s="18" t="str">
        <f aca="false">IFERROR(IF(VLOOKUP($D14,'Raw Data'!$B:$DE,VLOOKUP('Non-SWB CaseList'!AK$6,'Non-SWB Lists'!$A$1:$C$39,3,FALSE()),FALSE())=0,"",VLOOKUP($D14,'Raw Data'!$B:$DE,VLOOKUP('Non-SWB CaseList'!AK$6,'Non-SWB Lists'!$A$1:$C$39,3,FALSE()),FALSE())),"")</f>
        <v/>
      </c>
      <c r="AL14" s="18" t="str">
        <f aca="false">IFERROR(IF(VLOOKUP($D14,'Raw Data'!$B:$DE,VLOOKUP('Non-SWB CaseList'!AL$6,'Non-SWB Lists'!$A$1:$C$39,3,FALSE()),FALSE())=0,"",VLOOKUP($D14,'Raw Data'!$B:$DE,VLOOKUP('Non-SWB CaseList'!AL$6,'Non-SWB Lists'!$A$1:$C$39,3,FALSE()),FALSE())),"")</f>
        <v/>
      </c>
      <c r="AM14" s="18" t="str">
        <f aca="false">IFERROR(IF(VLOOKUP($D14,'Raw Data'!$B:$DE,VLOOKUP('Non-SWB CaseList'!AM$6,'Non-SWB Lists'!$A$1:$C$39,3,FALSE()),FALSE())=0,"",VLOOKUP($D14,'Raw Data'!$B:$DE,VLOOKUP('Non-SWB CaseList'!AM$6,'Non-SWB Lists'!$A$1:$C$39,3,FALSE()),FALSE())),"")</f>
        <v/>
      </c>
      <c r="AN14" s="18" t="str">
        <f aca="false">IFERROR(IF(VLOOKUP($D14,'Raw Data'!$B:$DE,VLOOKUP('Non-SWB CaseList'!AN$6,'Non-SWB Lists'!$A$1:$C$39,3,FALSE()),FALSE())=0,"NA",VLOOKUP($D14,'Raw Data'!$B:$DE,VLOOKUP('Non-SWB CaseList'!AN$6,'Non-SWB Lists'!$A$1:$C$39,3,FALSE()),FALSE())),"NA")</f>
        <v>NA</v>
      </c>
      <c r="AO14" s="18" t="str">
        <f aca="false">IFERROR(IF(VLOOKUP($D14,'Raw Data'!$B:$DE,VLOOKUP('Non-SWB CaseList'!AO$6,'Non-SWB Lists'!$A$1:$C$39,3,FALSE()),FALSE())=0,"",VLOOKUP($D14,'Raw Data'!$B:$DE,VLOOKUP('Non-SWB CaseList'!AO$6,'Non-SWB Lists'!$A$1:$C$39,3,FALSE()),FALSE())),"")</f>
        <v/>
      </c>
      <c r="AP14" s="18" t="str">
        <f aca="false">IFERROR(IF(VLOOKUP($D14,'Raw Data'!$B:$DE,VLOOKUP('Non-SWB CaseList'!AP$6,'Non-SWB Lists'!$A$1:$C$39,3,FALSE()),FALSE())=0,"",VLOOKUP($D14,'Raw Data'!$B:$DE,VLOOKUP('Non-SWB CaseList'!AP$6,'Non-SWB Lists'!$A$1:$C$39,3,FALSE()),FALSE())),"")</f>
        <v/>
      </c>
      <c r="AQ14" s="18" t="str">
        <f aca="false">IFERROR(IF(VLOOKUP($D14,'Raw Data'!$B:$DE,VLOOKUP('Non-SWB CaseList'!AQ$6,'Non-SWB Lists'!$A$1:$C$39,3,FALSE()),FALSE())=0,"",VLOOKUP($D14,'Raw Data'!$B:$DE,VLOOKUP('Non-SWB CaseList'!AQ$6,'Non-SWB Lists'!$A$1:$C$39,3,FALSE()),FALSE())),"")</f>
        <v/>
      </c>
      <c r="AR14" s="18" t="str">
        <f aca="false">IFERROR(IF(VLOOKUP($D14,'Raw Data'!$B:$DE,VLOOKUP('Non-SWB CaseList'!AR$6,'Non-SWB Lists'!$A$1:$C$39,3,FALSE()),FALSE())=0,"",VLOOKUP($D14,'Raw Data'!$B:$DE,VLOOKUP('Non-SWB CaseList'!AR$6,'Non-SWB Lists'!$A$1:$C$39,3,FALSE()),FALSE())),"")</f>
        <v/>
      </c>
      <c r="AS14" s="1" t="str">
        <f aca="false">IF($D14="","",IF(OR($J14="",$J14="NA"),"Sin datos",IF(OR(ISNUMBER(SEARCH("Chihuahua",$J14)),ISNUMBER(SEARCH("Coahuila",$J14)),ISNUMBER(SEARCH("Baja California Norte",$J14)),ISNUMBER(SEARCH("Nuevo Leon",$J14)),ISNUMBER(SEARCH("Nuevo León",$J14)),ISNUMBER(SEARCH("Tamaulipas",$J14)),ISNUMBER(SEARCH("Sonora",$J14))),"Revisar: State SI es Frontera","OK - No Frontera")))</f>
        <v>Sin datos</v>
      </c>
    </row>
    <row r="15" customFormat="false" ht="14.25" hidden="false" customHeight="true" outlineLevel="0" collapsed="false">
      <c r="A15" s="13"/>
      <c r="B15" s="14" t="s">
        <v>52</v>
      </c>
      <c r="C15" s="14" t="s">
        <v>47</v>
      </c>
      <c r="D15" s="15" t="n">
        <v>12392979</v>
      </c>
      <c r="E15" s="16" t="str">
        <f aca="false">IFERROR(IF(VLOOKUP($D15,'Raw Data'!$B:$DE,VLOOKUP('Non-SWB CaseList'!E$6,'Non-SWB Lists'!$A$1:$C$39,3,FALSE()),FALSE())=0,"",VLOOKUP($D15,'Raw Data'!$B:$DE,VLOOKUP('Non-SWB CaseList'!E$6,'Non-SWB Lists'!$A$1:$C$39,3,FALSE()),FALSE())),"")</f>
        <v/>
      </c>
      <c r="F15" s="14" t="s">
        <v>48</v>
      </c>
      <c r="G15" s="17" t="str">
        <f aca="false">IFERROR(IF(VLOOKUP($D15,'Raw Data'!$B:$DE,VLOOKUP('Non-SWB CaseList'!G$6,'Non-SWB Lists'!$A$1:$C$39,3,FALSE()),FALSE())=0,"",VLOOKUP($D15,'Raw Data'!$B:$DE,VLOOKUP('Non-SWB CaseList'!G$6,'Non-SWB Lists'!$A$1:$C$39,3,FALSE()),FALSE())),"")</f>
        <v/>
      </c>
      <c r="H15" s="17" t="str">
        <f aca="false">IFERROR(IF(VLOOKUP($D15,'Raw Data'!$B:$DE,VLOOKUP('Non-SWB CaseList'!H$6,'Non-SWB Lists'!$A$1:$C$39,3,FALSE()),FALSE())=0,"",VLOOKUP($D15,'Raw Data'!$B:$DE,VLOOKUP('Non-SWB CaseList'!H$6,'Non-SWB Lists'!$A$1:$C$39,3,FALSE()),FALSE())),"")</f>
        <v/>
      </c>
      <c r="I15" s="17" t="str">
        <f aca="false">IFERROR(IF(VLOOKUP($D15,'Raw Data'!$B:$DE,VLOOKUP('Non-SWB CaseList'!I$6,'Non-SWB Lists'!$A$1:$C$39,3,FALSE()),FALSE())=0,"",VLOOKUP($D15,'Raw Data'!$B:$DE,VLOOKUP('Non-SWB CaseList'!I$6,'Non-SWB Lists'!$A$1:$C$39,3,FALSE()),FALSE())),"")</f>
        <v/>
      </c>
      <c r="J15" s="17" t="str">
        <f aca="false">IFERROR(IF(VLOOKUP($D15,'Raw Data'!$B:$DE,VLOOKUP('Non-SWB CaseList'!J$6,'Non-SWB Lists'!$A$1:$C$39,3,FALSE()),FALSE())=0,"",VLOOKUP($D15,'Raw Data'!$B:$DE,VLOOKUP('Non-SWB CaseList'!J$6,'Non-SWB Lists'!$A$1:$C$39,3,FALSE()),FALSE())),"")</f>
        <v/>
      </c>
      <c r="K15" s="17" t="str">
        <f aca="false">IFERROR(IF(VLOOKUP($D15,'Raw Data'!$B:$DE,VLOOKUP('Non-SWB CaseList'!K$6,'Non-SWB Lists'!$A$1:$C$39,3,FALSE()),FALSE())=0,"",VLOOKUP($D15,'Raw Data'!$B:$DE,VLOOKUP('Non-SWB CaseList'!K$6,'Non-SWB Lists'!$A$1:$C$39,3,FALSE()),FALSE())),"")</f>
        <v/>
      </c>
      <c r="L15" s="17" t="str">
        <f aca="false">IFERROR(IF(VLOOKUP($D15,'Raw Data'!$B:$DE,VLOOKUP('Non-SWB CaseList'!L$6,'Non-SWB Lists'!$A$1:$C$39,3,FALSE()),FALSE())=0,"",VLOOKUP($D15,'Raw Data'!$B:$DE,VLOOKUP('Non-SWB CaseList'!L$6,'Non-SWB Lists'!$A$1:$C$39,3,FALSE()),FALSE())),"")</f>
        <v/>
      </c>
      <c r="M15" s="17" t="str">
        <f aca="false">IFERROR(IF(VLOOKUP($D15,'Raw Data'!$B:$DE,VLOOKUP('Non-SWB CaseList'!M$6,'Non-SWB Lists'!$A$1:$C$39,3,FALSE()),FALSE())=0,"",VLOOKUP($D15,'Raw Data'!$B:$DE,VLOOKUP('Non-SWB CaseList'!M$6,'Non-SWB Lists'!$A$1:$C$39,3,FALSE()),FALSE())),"")</f>
        <v/>
      </c>
      <c r="N15" s="17" t="str">
        <f aca="false">IFERROR(IF(VLOOKUP($D15,'Raw Data'!$B:$DE,VLOOKUP('Non-SWB CaseList'!N$6,'Non-SWB Lists'!$A$1:$C$39,3,FALSE()),FALSE())=0,"",VLOOKUP($D15,'Raw Data'!$B:$DE,VLOOKUP('Non-SWB CaseList'!N$6,'Non-SWB Lists'!$A$1:$C$39,3,FALSE()),FALSE())),"")</f>
        <v/>
      </c>
      <c r="O15" s="18" t="str">
        <f aca="false">IFERROR(IF(VLOOKUP($D15,'Raw Data'!$B:$DE,VLOOKUP('Non-SWB CaseList'!O$6,'Non-SWB Lists'!$A$1:$C$39,3,FALSE()),FALSE())=0,"",VLOOKUP($D15,'Raw Data'!$B:$DE,VLOOKUP('Non-SWB CaseList'!O$6,'Non-SWB Lists'!$A$1:$C$39,3,FALSE()),FALSE())),"")</f>
        <v/>
      </c>
      <c r="P15" s="18" t="str">
        <f aca="false">IFERROR(IF(VLOOKUP($D15,'Raw Data'!$B:$DE,VLOOKUP('Non-SWB CaseList'!P$6,'Non-SWB Lists'!$A$1:$C$39,3,FALSE()),FALSE())=0,"",VLOOKUP($D15,'Raw Data'!$B:$DE,VLOOKUP('Non-SWB CaseList'!P$6,'Non-SWB Lists'!$A$1:$C$39,3,FALSE()),FALSE())),"")</f>
        <v/>
      </c>
      <c r="Q15" s="18" t="str">
        <f aca="false">IFERROR(IF(VLOOKUP($D15,'Raw Data'!$B:$DE,VLOOKUP('Non-SWB CaseList'!Q$6,'Non-SWB Lists'!$A$1:$C$39,3,FALSE()),FALSE())=0,"",VLOOKUP($D15,'Raw Data'!$B:$DE,VLOOKUP('Non-SWB CaseList'!Q$6,'Non-SWB Lists'!$A$1:$C$39,3,FALSE()),FALSE())),"")</f>
        <v/>
      </c>
      <c r="R15" s="18" t="str">
        <f aca="false">IFERROR(IF(VLOOKUP($D15,'Raw Data'!$B:$DE,VLOOKUP('Non-SWB CaseList'!R$6,'Non-SWB Lists'!$A$1:$C$39,3,FALSE()),FALSE())=0,"",VLOOKUP($D15,'Raw Data'!$B:$DE,VLOOKUP('Non-SWB CaseList'!R$6,'Non-SWB Lists'!$A$1:$C$39,3,FALSE()),FALSE())),"")</f>
        <v/>
      </c>
      <c r="S15" s="18" t="str">
        <f aca="false">IFERROR(IF(VLOOKUP($D15,'Raw Data'!$B:$DE,VLOOKUP('Non-SWB CaseList'!S$6,'Non-SWB Lists'!$A$1:$C$39,3,FALSE()),FALSE())=0,"",VLOOKUP($D15,'Raw Data'!$B:$DE,VLOOKUP('Non-SWB CaseList'!S$6,'Non-SWB Lists'!$A$1:$C$39,3,FALSE()),FALSE())),"")</f>
        <v/>
      </c>
      <c r="T15" s="18" t="str">
        <f aca="false">IFERROR(IF(VLOOKUP($D15,'Raw Data'!$B:$DE,VLOOKUP('Non-SWB CaseList'!T$6,'Non-SWB Lists'!$A$1:$C$39,3,FALSE()),FALSE())=0,"",VLOOKUP($D15,'Raw Data'!$B:$DE,VLOOKUP('Non-SWB CaseList'!T$6,'Non-SWB Lists'!$A$1:$C$39,3,FALSE()),FALSE())),"")</f>
        <v/>
      </c>
      <c r="U15" s="18" t="str">
        <f aca="false">IFERROR(IF(VLOOKUP($D15,'Raw Data'!$B:$DE,VLOOKUP('Non-SWB CaseList'!U$6,'Non-SWB Lists'!$A$1:$C$39,3,FALSE()),FALSE())=0,"",VLOOKUP($D15,'Raw Data'!$B:$DE,VLOOKUP('Non-SWB CaseList'!U$6,'Non-SWB Lists'!$A$1:$C$39,3,FALSE()),FALSE())),"")</f>
        <v/>
      </c>
      <c r="V15" s="18" t="str">
        <f aca="false">IFERROR(IF(VLOOKUP($D15,'Raw Data'!$B:$DE,VLOOKUP('Non-SWB CaseList'!V$6,'Non-SWB Lists'!$A$1:$C$39,3,FALSE()),FALSE())=0,"",VLOOKUP($D15,'Raw Data'!$B:$DE,VLOOKUP('Non-SWB CaseList'!V$6,'Non-SWB Lists'!$A$1:$C$39,3,FALSE()),FALSE())),"")</f>
        <v/>
      </c>
      <c r="W15" s="18" t="str">
        <f aca="false">IFERROR(IF(VLOOKUP($D15,'Raw Data'!$B:$DE,VLOOKUP('Non-SWB CaseList'!W$6,'Non-SWB Lists'!$A$1:$C$39,3,FALSE()),FALSE())=0,"",VLOOKUP($D15,'Raw Data'!$B:$DE,VLOOKUP('Non-SWB CaseList'!W$6,'Non-SWB Lists'!$A$1:$C$39,3,FALSE()),FALSE())),"")</f>
        <v/>
      </c>
      <c r="X15" s="18" t="str">
        <f aca="false">IFERROR(IF(VLOOKUP($D15,'Raw Data'!$B:$DE,VLOOKUP('Non-SWB CaseList'!X$6,'Non-SWB Lists'!$A$1:$C$39,3,FALSE()),FALSE())=0,"",VLOOKUP($D15,'Raw Data'!$B:$DE,VLOOKUP('Non-SWB CaseList'!X$6,'Non-SWB Lists'!$A$1:$C$39,3,FALSE()),FALSE())),"")</f>
        <v/>
      </c>
      <c r="Y15" s="18" t="str">
        <f aca="false">IFERROR(IF(VLOOKUP($D15,'Raw Data'!$B:$DE,VLOOKUP('Non-SWB CaseList'!Y$6,'Non-SWB Lists'!$A$1:$C$39,3,FALSE()),FALSE())=0,"",VLOOKUP($D15,'Raw Data'!$B:$DE,VLOOKUP('Non-SWB CaseList'!Y$6,'Non-SWB Lists'!$A$1:$C$39,3,FALSE()),FALSE())),"")</f>
        <v/>
      </c>
      <c r="Z15" s="18" t="str">
        <f aca="false">IFERROR(IF(VLOOKUP($D15,'Raw Data'!$B:$DE,VLOOKUP('Non-SWB CaseList'!Z$6,'Non-SWB Lists'!$A$1:$C$39,3,FALSE()),FALSE())=0,"",VLOOKUP($D15,'Raw Data'!$B:$DE,VLOOKUP('Non-SWB CaseList'!Z$6,'Non-SWB Lists'!$A$1:$C$39,3,FALSE()),FALSE())),"")</f>
        <v/>
      </c>
      <c r="AA15" s="18" t="str">
        <f aca="false">IFERROR(IF(VLOOKUP($D15,'Raw Data'!$B:$DE,VLOOKUP('Non-SWB CaseList'!AA$6,'Non-SWB Lists'!$A$1:$C$39,3,FALSE()),FALSE())=0,"",VLOOKUP($D15,'Raw Data'!$B:$DE,VLOOKUP('Non-SWB CaseList'!AA$6,'Non-SWB Lists'!$A$1:$C$39,3,FALSE()),FALSE())),"")</f>
        <v/>
      </c>
      <c r="AB15" s="18" t="str">
        <f aca="false">IFERROR(IF(VLOOKUP($D15,'Raw Data'!$B:$DE,VLOOKUP('Non-SWB CaseList'!AB$6,'Non-SWB Lists'!$A$1:$C$39,3,FALSE()),FALSE())=0,"",VLOOKUP($D15,'Raw Data'!$B:$DE,VLOOKUP('Non-SWB CaseList'!AB$6,'Non-SWB Lists'!$A$1:$C$39,3,FALSE()),FALSE())),"")</f>
        <v/>
      </c>
      <c r="AC15" s="18" t="str">
        <f aca="false">IFERROR(IF(VLOOKUP($D15,'Raw Data'!$B:$DE,VLOOKUP('Non-SWB CaseList'!AC$6,'Non-SWB Lists'!$A$1:$C$39,3,FALSE()),FALSE())=0,"",VLOOKUP($D15,'Raw Data'!$B:$DE,VLOOKUP('Non-SWB CaseList'!AC$6,'Non-SWB Lists'!$A$1:$C$39,3,FALSE()),FALSE())),"")</f>
        <v/>
      </c>
      <c r="AD15" s="18" t="str">
        <f aca="false">IFERROR(IF(VLOOKUP($D15,'Raw Data'!$B:$DE,VLOOKUP('Non-SWB CaseList'!AD$6,'Non-SWB Lists'!$A$1:$C$39,3,FALSE()),FALSE())=0,"",VLOOKUP($D15,'Raw Data'!$B:$DE,VLOOKUP('Non-SWB CaseList'!AD$6,'Non-SWB Lists'!$A$1:$C$39,3,FALSE()),FALSE())),"")</f>
        <v/>
      </c>
      <c r="AE15" s="18" t="str">
        <f aca="false">IFERROR(IF(VLOOKUP($D15,'Raw Data'!$B:$DE,VLOOKUP('Non-SWB CaseList'!AE$6,'Non-SWB Lists'!$A$1:$C$39,3,FALSE()),FALSE())=0,"",VLOOKUP($D15,'Raw Data'!$B:$DE,VLOOKUP('Non-SWB CaseList'!AE$6,'Non-SWB Lists'!$A$1:$C$39,3,FALSE()),FALSE())),"")</f>
        <v/>
      </c>
      <c r="AF15" s="18" t="str">
        <f aca="false">IFERROR(IF(VLOOKUP($D15,'Raw Data'!$B:$DE,VLOOKUP('Non-SWB CaseList'!AF$6,'Non-SWB Lists'!$A$1:$C$39,3,FALSE()),FALSE())=0,"",VLOOKUP($D15,'Raw Data'!$B:$DE,VLOOKUP('Non-SWB CaseList'!AF$6,'Non-SWB Lists'!$A$1:$C$39,3,FALSE()),FALSE())),"")</f>
        <v/>
      </c>
      <c r="AG15" s="18" t="str">
        <f aca="false">IFERROR(IF(VLOOKUP($D15,'Raw Data'!$B:$DE,VLOOKUP('Non-SWB CaseList'!AG$6,'Non-SWB Lists'!$A$1:$C$39,3,FALSE()),FALSE())=0,"",VLOOKUP($D15,'Raw Data'!$B:$DE,VLOOKUP('Non-SWB CaseList'!AG$6,'Non-SWB Lists'!$A$1:$C$39,3,FALSE()),FALSE())),"")</f>
        <v/>
      </c>
      <c r="AH15" s="18" t="str">
        <f aca="false">IFERROR(IF(VLOOKUP($D15,'Raw Data'!$B:$DE,VLOOKUP('Non-SWB CaseList'!AH$6,'Non-SWB Lists'!$A$1:$C$39,3,FALSE()),FALSE())=0,"",VLOOKUP($D15,'Raw Data'!$B:$DE,VLOOKUP('Non-SWB CaseList'!AH$6,'Non-SWB Lists'!$A$1:$C$39,3,FALSE()),FALSE())),"")</f>
        <v/>
      </c>
      <c r="AI15" s="18" t="str">
        <f aca="false">IFERROR(IF(VLOOKUP($D15,'Raw Data'!$B:$DE,VLOOKUP('Non-SWB CaseList'!AI$6,'Non-SWB Lists'!$A$1:$C$39,3,FALSE()),FALSE())=0,"",VLOOKUP($D15,'Raw Data'!$B:$DE,VLOOKUP('Non-SWB CaseList'!AI$6,'Non-SWB Lists'!$A$1:$C$39,3,FALSE()),FALSE())),"")</f>
        <v/>
      </c>
      <c r="AJ15" s="18" t="str">
        <f aca="false">IFERROR(IF(VLOOKUP($D15,'Raw Data'!$B:$DE,VLOOKUP('Non-SWB CaseList'!AJ$6,'Non-SWB Lists'!$A$1:$C$39,3,FALSE()),FALSE())=0,"",VLOOKUP($D15,'Raw Data'!$B:$DE,VLOOKUP('Non-SWB CaseList'!AJ$6,'Non-SWB Lists'!$A$1:$C$39,3,FALSE()),FALSE())),"")</f>
        <v/>
      </c>
      <c r="AK15" s="18" t="str">
        <f aca="false">IFERROR(IF(VLOOKUP($D15,'Raw Data'!$B:$DE,VLOOKUP('Non-SWB CaseList'!AK$6,'Non-SWB Lists'!$A$1:$C$39,3,FALSE()),FALSE())=0,"",VLOOKUP($D15,'Raw Data'!$B:$DE,VLOOKUP('Non-SWB CaseList'!AK$6,'Non-SWB Lists'!$A$1:$C$39,3,FALSE()),FALSE())),"")</f>
        <v/>
      </c>
      <c r="AL15" s="18" t="str">
        <f aca="false">IFERROR(IF(VLOOKUP($D15,'Raw Data'!$B:$DE,VLOOKUP('Non-SWB CaseList'!AL$6,'Non-SWB Lists'!$A$1:$C$39,3,FALSE()),FALSE())=0,"",VLOOKUP($D15,'Raw Data'!$B:$DE,VLOOKUP('Non-SWB CaseList'!AL$6,'Non-SWB Lists'!$A$1:$C$39,3,FALSE()),FALSE())),"")</f>
        <v/>
      </c>
      <c r="AM15" s="18" t="str">
        <f aca="false">IFERROR(IF(VLOOKUP($D15,'Raw Data'!$B:$DE,VLOOKUP('Non-SWB CaseList'!AM$6,'Non-SWB Lists'!$A$1:$C$39,3,FALSE()),FALSE())=0,"",VLOOKUP($D15,'Raw Data'!$B:$DE,VLOOKUP('Non-SWB CaseList'!AM$6,'Non-SWB Lists'!$A$1:$C$39,3,FALSE()),FALSE())),"")</f>
        <v/>
      </c>
      <c r="AN15" s="18" t="str">
        <f aca="false">IFERROR(IF(VLOOKUP($D15,'Raw Data'!$B:$DE,VLOOKUP('Non-SWB CaseList'!AN$6,'Non-SWB Lists'!$A$1:$C$39,3,FALSE()),FALSE())=0,"NA",VLOOKUP($D15,'Raw Data'!$B:$DE,VLOOKUP('Non-SWB CaseList'!AN$6,'Non-SWB Lists'!$A$1:$C$39,3,FALSE()),FALSE())),"NA")</f>
        <v>NA</v>
      </c>
      <c r="AO15" s="18" t="str">
        <f aca="false">IFERROR(IF(VLOOKUP($D15,'Raw Data'!$B:$DE,VLOOKUP('Non-SWB CaseList'!AO$6,'Non-SWB Lists'!$A$1:$C$39,3,FALSE()),FALSE())=0,"",VLOOKUP($D15,'Raw Data'!$B:$DE,VLOOKUP('Non-SWB CaseList'!AO$6,'Non-SWB Lists'!$A$1:$C$39,3,FALSE()),FALSE())),"")</f>
        <v/>
      </c>
      <c r="AP15" s="18" t="str">
        <f aca="false">IFERROR(IF(VLOOKUP($D15,'Raw Data'!$B:$DE,VLOOKUP('Non-SWB CaseList'!AP$6,'Non-SWB Lists'!$A$1:$C$39,3,FALSE()),FALSE())=0,"",VLOOKUP($D15,'Raw Data'!$B:$DE,VLOOKUP('Non-SWB CaseList'!AP$6,'Non-SWB Lists'!$A$1:$C$39,3,FALSE()),FALSE())),"")</f>
        <v/>
      </c>
      <c r="AQ15" s="18" t="str">
        <f aca="false">IFERROR(IF(VLOOKUP($D15,'Raw Data'!$B:$DE,VLOOKUP('Non-SWB CaseList'!AQ$6,'Non-SWB Lists'!$A$1:$C$39,3,FALSE()),FALSE())=0,"",VLOOKUP($D15,'Raw Data'!$B:$DE,VLOOKUP('Non-SWB CaseList'!AQ$6,'Non-SWB Lists'!$A$1:$C$39,3,FALSE()),FALSE())),"")</f>
        <v/>
      </c>
      <c r="AR15" s="18" t="str">
        <f aca="false">IFERROR(IF(VLOOKUP($D15,'Raw Data'!$B:$DE,VLOOKUP('Non-SWB CaseList'!AR$6,'Non-SWB Lists'!$A$1:$C$39,3,FALSE()),FALSE())=0,"",VLOOKUP($D15,'Raw Data'!$B:$DE,VLOOKUP('Non-SWB CaseList'!AR$6,'Non-SWB Lists'!$A$1:$C$39,3,FALSE()),FALSE())),"")</f>
        <v/>
      </c>
      <c r="AS15" s="1" t="str">
        <f aca="false">IF($D15="","",IF(OR($J15="",$J15="NA"),"Sin datos",IF(OR(ISNUMBER(SEARCH("Chihuahua",$J15)),ISNUMBER(SEARCH("Coahuila",$J15)),ISNUMBER(SEARCH("Baja California Norte",$J15)),ISNUMBER(SEARCH("Nuevo Leon",$J15)),ISNUMBER(SEARCH("Nuevo León",$J15)),ISNUMBER(SEARCH("Tamaulipas",$J15)),ISNUMBER(SEARCH("Sonora",$J15))),"Revisar: State SI es Frontera","OK - No Frontera")))</f>
        <v>Sin datos</v>
      </c>
    </row>
  </sheetData>
  <mergeCells count="1">
    <mergeCell ref="F2:H3"/>
  </mergeCells>
  <conditionalFormatting sqref="D7:D15">
    <cfRule type="duplicateValues" priority="2" aboveAverage="0" equalAverage="0" bottom="0" percent="0" rank="0" text="" dxfId="4"/>
  </conditionalFormatting>
  <dataValidations count="13">
    <dataValidation allowBlank="true" errorStyle="stop" operator="between" showDropDown="false" showErrorMessage="true" showInputMessage="true" sqref="C6 IU6 SQ6 ACM6 AMI6 AWE6 BGA6 BPW6 BZS6 CJO6 CTK6 DDG6 DNC6 DWY6 EGU6 EQQ6 FAM6 FKI6 FUE6 GEA6 GNW6 GXS6 HHO6 HRK6 IBG6 ILC6 IUY6 JEU6 JOQ6 JYM6 KII6 KSE6 LCA6 LLW6 LVS6 MFO6 MPK6 MZG6 NJC6 NSY6 OCU6 OMQ6 OWM6 PGI6 PQE6 QAA6 QJW6 QTS6 RDO6 RNK6 RXG6 SHC6 SQY6 TAU6 TKQ6 TUM6 UEI6 UOE6 UYA6 VHW6 VRS6 WBO6 WLK6 WVG6" type="list">
      <formula1>"Business Group"</formula1>
      <formula2>0</formula2>
    </dataValidation>
    <dataValidation allowBlank="true" errorStyle="stop" operator="between" showDropDown="false" showErrorMessage="true" showInputMessage="true" sqref="L6 JD6 SZ6 ACV6 AMR6 AWN6 BGJ6 BQF6 CAB6 CJX6 CTT6 DDP6 DNL6 DXH6 EHD6 EQZ6 FAV6 FKR6 FUN6 GEJ6 GOF6 GYB6 HHX6 HRT6 IBP6 ILL6 IVH6 JFD6 JOZ6 JYV6 KIR6 KSN6 LCJ6 LMF6 LWB6 MFX6 MPT6 MZP6 NJL6 NTH6 ODD6 OMZ6 OWV6 PGR6 PQN6 QAJ6 QKF6 QUB6 RDX6 RNT6 RXP6 SHL6 SRH6 TBD6 TKZ6 TUV6 UER6 UON6 UYJ6 VIF6 VSB6 WBX6 WLT6 WVP6" type="list">
      <formula1>"Subject Country"</formula1>
      <formula2>0</formula2>
    </dataValidation>
    <dataValidation allowBlank="true" errorStyle="stop" operator="between" showDropDown="false" showErrorMessage="true" showInputMessage="true" sqref="K6 JC6 SY6 ACU6 AMQ6 AWM6 BGI6 BQE6 CAA6 CJW6 CTS6 DDO6 DNK6 DXG6 EHC6 EQY6 FAU6 FKQ6 FUM6 GEI6 GOE6 GYA6 HHW6 HRS6 IBO6 ILK6 IVG6 JFC6 JOY6 JYU6 KIQ6 KSM6 LCI6 LME6 LWA6 MFW6 MPS6 MZO6 NJK6 NTG6 ODC6 OMY6 OWU6 PGQ6 PQM6 QAI6 QKE6 QUA6 RDW6 RNS6 RXO6 SHK6 SRG6 TBC6 TKY6 TUU6 UEQ6 UOM6 UYI6 VIE6 VSA6 WBW6 WLS6 WVO6" type="list">
      <formula1>"Subject Zip Code"</formula1>
      <formula2>0</formula2>
    </dataValidation>
    <dataValidation allowBlank="true" errorStyle="stop" operator="between" showDropDown="false" showErrorMessage="true" showInputMessage="true" sqref="J6 JB6 SX6 ACT6 AMP6 AWL6 BGH6 BQD6 BZZ6 CJV6 CTR6 DDN6 DNJ6 DXF6 EHB6 EQX6 FAT6 FKP6 FUL6 GEH6 GOD6 GXZ6 HHV6 HRR6 IBN6 ILJ6 IVF6 JFB6 JOX6 JYT6 KIP6 KSL6 LCH6 LMD6 LVZ6 MFV6 MPR6 MZN6 NJJ6 NTF6 ODB6 OMX6 OWT6 PGP6 PQL6 QAH6 QKD6 QTZ6 RDV6 RNR6 RXN6 SHJ6 SRF6 TBB6 TKX6 TUT6 UEP6 UOL6 UYH6 VID6 VRZ6 WBV6 WLR6 WVN6" type="list">
      <formula1>"Subject State"</formula1>
      <formula2>0</formula2>
    </dataValidation>
    <dataValidation allowBlank="true" errorStyle="stop" operator="between" showDropDown="false" showErrorMessage="true" showInputMessage="true" sqref="I6 JA6 SW6 ACS6 AMO6 AWK6 BGG6 BQC6 BZY6 CJU6 CTQ6 DDM6 DNI6 DXE6 EHA6 EQW6 FAS6 FKO6 FUK6 GEG6 GOC6 GXY6 HHU6 HRQ6 IBM6 ILI6 IVE6 JFA6 JOW6 JYS6 KIO6 KSK6 LCG6 LMC6 LVY6 MFU6 MPQ6 MZM6 NJI6 NTE6 ODA6 OMW6 OWS6 PGO6 PQK6 QAG6 QKC6 QTY6 RDU6 RNQ6 RXM6 SHI6 SRE6 TBA6 TKW6 TUS6 UEO6 UOK6 UYG6 VIC6 VRY6 WBU6 WLQ6 WVM6" type="list">
      <formula1>"Subject City"</formula1>
      <formula2>0</formula2>
    </dataValidation>
    <dataValidation allowBlank="true" errorStyle="stop" operator="between" showDropDown="false" showErrorMessage="true" showInputMessage="true" sqref="H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type="list">
      <formula1>"Subject Address"</formula1>
      <formula2>0</formula2>
    </dataValidation>
    <dataValidation allowBlank="true" errorStyle="stop" operator="between" showDropDown="false" showErrorMessage="true" showInputMessage="true" sqref="G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type="list">
      <formula1>"Subject Name"</formula1>
      <formula2>0</formula2>
    </dataValidation>
    <dataValidation allowBlank="true" error="Shop ID should be numeric and should contain upto 11 digits" errorStyle="stop" operator="between" showDropDown="false" showErrorMessage="true" showInputMessage="true" sqref="D6 IV6 SR6 ACN6 AMJ6 AWF6 BGB6 BPX6 BZT6 CJP6 CTL6 DDH6 DND6 DWZ6 EGV6 EQR6 FAN6 FKJ6 FUF6 GEB6 GNX6 GXT6 HHP6 HRL6 IBH6 ILD6 IUZ6 JEV6 JOR6 JYN6 KIJ6 KSF6 LCB6 LLX6 LVT6 MFP6 MPL6 MZH6 NJD6 NSZ6 OCV6 OMR6 OWN6 PGJ6 PQF6 QAB6 QJX6 QTT6 RDP6 RNL6 RXH6 SHD6 SQZ6 TAV6 TKR6 TUN6 UEJ6 UOF6 UYB6 VHX6 VRT6 WBP6 WLL6 WVH6" type="list">
      <formula1>"Shop ID"</formula1>
      <formula2>0</formula2>
    </dataValidation>
    <dataValidation allowBlank="true" errorStyle="stop" operator="between" showDropDown="false" showErrorMessage="true" showInputMessage="true" sqref="A6 IS6 SO6 ACK6 AMG6 AWC6 BFY6 BPU6 BZQ6 CJM6 CTI6 DDE6 DNA6 DWW6 EGS6 EQO6 FAK6 FKG6 FUC6 GDY6 GNU6 GXQ6 HHM6 HRI6 IBE6 ILA6 IUW6 JES6 JOO6 JYK6 KIG6 KSC6 LBY6 LLU6 LVQ6 MFM6 MPI6 MZE6 NJA6 NSW6 OCS6 OMO6 OWK6 PGG6 PQC6 PZY6 QJU6 QTQ6 RDM6 RNI6 RXE6 SHA6 SQW6 TAS6 TKO6 TUK6 UEG6 UOC6 UXY6 VHU6 VRQ6 WBM6 WLI6 WVE6" type="list">
      <formula1>"Case ID"</formula1>
      <formula2>0</formula2>
    </dataValidation>
    <dataValidation allowBlank="true" errorStyle="stop" operator="between" showDropDown="false" showErrorMessage="true" showInputMessage="true" sqref="M6 JE6 TA6 ACW6 AMS6 AWO6 BGK6 BQG6 CAC6 CJY6 CTU6 DDQ6 DNM6 DXI6 EHE6 ERA6 FAW6 FKS6 FUO6 GEK6 GOG6 GYC6 HHY6 HRU6 IBQ6 ILM6 IVI6 JFE6 JPA6 JYW6 KIS6 KSO6 LCK6 LMG6 LWC6 MFY6 MPU6 MZQ6 NJM6 NTI6 ODE6 ONA6 OWW6 PGS6 PQO6 QAK6 QKG6 QUC6 RDY6 RNU6 RXQ6 SHM6 SRI6 TBE6 TLA6 TUW6 UES6 UOO6 UYK6 VIG6 VSC6 WBY6 WLU6 WVQ6" type="list">
      <formula1>"Final Pass Fail"</formula1>
      <formula2>0</formula2>
    </dataValidation>
    <dataValidation allowBlank="true" errorStyle="stop" operator="between" showDropDown="false" showErrorMessage="true" showInputMessage="true" sqref="B7:B15" type="list">
      <formula1>"MYSTERY SHOP - NON SWB V1.0"</formula1>
      <formula2>0</formula2>
    </dataValidation>
    <dataValidation allowBlank="true" errorStyle="stop" operator="between" showDropDown="false" showErrorMessage="true" showInputMessage="true" sqref="C7:C15" type="list">
      <formula1>"GFO"</formula1>
      <formula2>0</formula2>
    </dataValidation>
    <dataValidation allowBlank="true" errorStyle="stop" operator="between" showDropDown="false" showErrorMessage="true" showInputMessage="true" sqref="F7:F15" type="list">
      <formula1>"Agent,Agent Network,Agent Sub Network,Agent Location"</formula1>
      <formula2>0</formula2>
    </dataValidation>
  </dataValidations>
  <printOptions headings="false" gridLines="false" gridLinesSet="true" horizontalCentered="false" verticalCentered="false"/>
  <pageMargins left="0.7" right="0.7" top="0.75" bottom="0.75" header="0.511811023622047" footer="0.3"/>
  <pageSetup paperSize="1" scale="100" fitToWidth="1" fitToHeight="1" pageOrder="downThenOver" orientation="portrait" blackAndWhite="false" draft="false" cellComments="none" horizontalDpi="300" verticalDpi="300" copies="1"/>
  <headerFooter differentFirst="false" differentOddEven="false">
    <oddHeader/>
    <oddFooter>&amp;L&amp;10 _x005F_x000d_# Classification: Western Union Unrestricted Internal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5">
              <controlPr defaultSize="0" print="true" autoFill="0" autoPict="0" macro="Sheet1.Get_Data_From_File">
                <anchor moveWithCells="true" sizeWithCells="false">
                  <from>
                    <xdr:col>0</xdr:col>
                    <xdr:colOff>47520</xdr:colOff>
                    <xdr:row>0</xdr:row>
                    <xdr:rowOff>57240</xdr:rowOff>
                  </from>
                  <to>
                    <xdr:col>2</xdr:col>
                    <xdr:colOff>720</xdr:colOff>
                    <xdr:row>5</xdr:row>
                    <xdr:rowOff>38160</xdr:rowOff>
                  </to>
                </anchor>
              </controlPr>
            </control>
          </mc:Choice>
        </mc:AlternateContent>
      </controls>
    </mc:Choice>
  </mc:AlternateContent>
  <tableParts>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U2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1" activeCellId="0" sqref="F1"/>
    </sheetView>
  </sheetViews>
  <sheetFormatPr defaultColWidth="8.6796875" defaultRowHeight="14.25" zeroHeight="false" outlineLevelRow="0" outlineLevelCol="0"/>
  <cols>
    <col collapsed="false" customWidth="true" hidden="false" outlineLevel="0" max="6" min="6" style="19" width="17.54"/>
  </cols>
  <sheetData>
    <row r="1" customFormat="false" ht="14.25" hidden="false" customHeight="true" outlineLevel="0" collapsed="false">
      <c r="A1" s="1" t="s">
        <v>1</v>
      </c>
      <c r="B1" s="1" t="s">
        <v>53</v>
      </c>
      <c r="C1" s="1" t="s">
        <v>2</v>
      </c>
      <c r="D1" s="1" t="s">
        <v>3</v>
      </c>
      <c r="E1" s="1" t="s">
        <v>4</v>
      </c>
      <c r="F1" s="19"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c r="AD1" s="1" t="s">
        <v>29</v>
      </c>
      <c r="AE1" s="1" t="s">
        <v>30</v>
      </c>
      <c r="AF1" s="1" t="s">
        <v>31</v>
      </c>
      <c r="AG1" s="1" t="s">
        <v>32</v>
      </c>
      <c r="AH1" s="1" t="s">
        <v>33</v>
      </c>
      <c r="AI1" s="1" t="s">
        <v>34</v>
      </c>
      <c r="AJ1" s="1" t="s">
        <v>35</v>
      </c>
      <c r="AK1" s="1" t="s">
        <v>36</v>
      </c>
      <c r="AL1" s="1" t="s">
        <v>37</v>
      </c>
      <c r="AM1" s="1" t="s">
        <v>38</v>
      </c>
      <c r="AN1" s="1" t="s">
        <v>39</v>
      </c>
      <c r="AO1" s="1" t="s">
        <v>40</v>
      </c>
      <c r="AP1" s="1" t="s">
        <v>41</v>
      </c>
      <c r="AQ1" s="1" t="s">
        <v>42</v>
      </c>
      <c r="AR1" s="1" t="s">
        <v>43</v>
      </c>
      <c r="AS1" s="1" t="s">
        <v>44</v>
      </c>
      <c r="AT1" s="1" t="s">
        <v>54</v>
      </c>
      <c r="AU1" s="1" t="s">
        <v>55</v>
      </c>
    </row>
    <row r="2" customFormat="false" ht="14.25" hidden="false" customHeight="true" outlineLevel="0" collapsed="false">
      <c r="A2" s="1" t="s">
        <v>56</v>
      </c>
      <c r="B2" s="1" t="s">
        <v>57</v>
      </c>
      <c r="C2" s="1" t="s">
        <v>46</v>
      </c>
      <c r="D2" s="1" t="s">
        <v>47</v>
      </c>
      <c r="E2" s="1" t="n">
        <v>12014015</v>
      </c>
      <c r="F2" s="19" t="n">
        <v>10000002518820</v>
      </c>
      <c r="G2" s="1" t="s">
        <v>58</v>
      </c>
      <c r="H2" s="1" t="s">
        <v>59</v>
      </c>
      <c r="I2" s="1" t="s">
        <v>60</v>
      </c>
      <c r="J2" s="1" t="s">
        <v>61</v>
      </c>
      <c r="K2" s="1" t="s">
        <v>62</v>
      </c>
      <c r="M2" s="1" t="s">
        <v>63</v>
      </c>
      <c r="N2" s="1" t="s">
        <v>64</v>
      </c>
      <c r="O2" s="1" t="s">
        <v>64</v>
      </c>
      <c r="P2" s="25" t="n">
        <v>45741</v>
      </c>
      <c r="Q2" s="26" t="n">
        <v>0.639583333333333</v>
      </c>
      <c r="R2" s="26" t="n">
        <v>0.66875</v>
      </c>
      <c r="U2" s="1" t="s">
        <v>65</v>
      </c>
      <c r="V2" s="1" t="s">
        <v>66</v>
      </c>
      <c r="Y2" s="1" t="s">
        <v>67</v>
      </c>
      <c r="Z2" s="1" t="s">
        <v>68</v>
      </c>
      <c r="AB2" s="1" t="s">
        <v>69</v>
      </c>
      <c r="AL2" s="1" t="s">
        <v>70</v>
      </c>
    </row>
    <row r="3" customFormat="false" ht="14.25" hidden="false" customHeight="true" outlineLevel="0" collapsed="false">
      <c r="A3" s="1" t="s">
        <v>71</v>
      </c>
      <c r="B3" s="1" t="s">
        <v>57</v>
      </c>
      <c r="C3" s="1" t="s">
        <v>46</v>
      </c>
      <c r="D3" s="1" t="s">
        <v>47</v>
      </c>
      <c r="E3" s="1" t="n">
        <v>12010422</v>
      </c>
      <c r="F3" s="19" t="n">
        <v>10000002605018</v>
      </c>
      <c r="G3" s="1" t="s">
        <v>58</v>
      </c>
      <c r="H3" s="1" t="s">
        <v>72</v>
      </c>
      <c r="I3" s="1" t="s">
        <v>73</v>
      </c>
      <c r="J3" s="1" t="s">
        <v>74</v>
      </c>
      <c r="K3" s="1" t="s">
        <v>62</v>
      </c>
      <c r="L3" s="1" t="n">
        <v>10201</v>
      </c>
      <c r="M3" s="1" t="s">
        <v>75</v>
      </c>
      <c r="N3" s="1" t="s">
        <v>64</v>
      </c>
      <c r="O3" s="1" t="s">
        <v>64</v>
      </c>
      <c r="P3" s="25" t="n">
        <v>45736</v>
      </c>
      <c r="U3" s="1" t="s">
        <v>76</v>
      </c>
      <c r="AL3" s="1" t="s">
        <v>77</v>
      </c>
      <c r="AM3" s="1" t="s">
        <v>64</v>
      </c>
      <c r="AT3" s="1" t="n">
        <v>2</v>
      </c>
      <c r="AU3" s="1" t="s">
        <v>47</v>
      </c>
    </row>
    <row r="4" customFormat="false" ht="14.25" hidden="false" customHeight="true" outlineLevel="0" collapsed="false">
      <c r="A4" s="1" t="s">
        <v>78</v>
      </c>
      <c r="B4" s="1" t="s">
        <v>57</v>
      </c>
      <c r="C4" s="1" t="s">
        <v>46</v>
      </c>
      <c r="D4" s="1" t="s">
        <v>47</v>
      </c>
      <c r="E4" s="1" t="n">
        <v>12014006</v>
      </c>
      <c r="F4" s="19" t="n">
        <v>10000002606719</v>
      </c>
      <c r="G4" s="1" t="s">
        <v>58</v>
      </c>
      <c r="H4" s="1" t="s">
        <v>79</v>
      </c>
      <c r="I4" s="1" t="s">
        <v>80</v>
      </c>
      <c r="J4" s="1" t="s">
        <v>81</v>
      </c>
      <c r="K4" s="1" t="s">
        <v>62</v>
      </c>
      <c r="L4" s="1" t="n">
        <v>10102</v>
      </c>
      <c r="M4" s="1" t="s">
        <v>75</v>
      </c>
      <c r="N4" s="1" t="s">
        <v>64</v>
      </c>
      <c r="O4" s="1" t="s">
        <v>64</v>
      </c>
      <c r="P4" s="25" t="n">
        <v>45743</v>
      </c>
      <c r="Q4" s="26" t="n">
        <v>0.428472222222222</v>
      </c>
      <c r="R4" s="26" t="n">
        <v>0.46875</v>
      </c>
      <c r="U4" s="1" t="s">
        <v>76</v>
      </c>
      <c r="Y4" s="1" t="s">
        <v>82</v>
      </c>
      <c r="Z4" s="1" t="s">
        <v>83</v>
      </c>
      <c r="AB4" s="1" t="s">
        <v>82</v>
      </c>
      <c r="AM4" s="1" t="s">
        <v>64</v>
      </c>
      <c r="AT4" s="1" t="n">
        <v>2</v>
      </c>
      <c r="AU4" s="1" t="s">
        <v>47</v>
      </c>
    </row>
    <row r="5" customFormat="false" ht="14.25" hidden="false" customHeight="true" outlineLevel="0" collapsed="false">
      <c r="A5" s="1" t="s">
        <v>84</v>
      </c>
      <c r="B5" s="1" t="s">
        <v>57</v>
      </c>
      <c r="C5" s="1" t="s">
        <v>46</v>
      </c>
      <c r="D5" s="1" t="s">
        <v>47</v>
      </c>
      <c r="E5" s="1" t="n">
        <v>12006724</v>
      </c>
      <c r="F5" s="19" t="n">
        <v>10000001547304</v>
      </c>
      <c r="G5" s="1" t="s">
        <v>58</v>
      </c>
      <c r="H5" s="1" t="s">
        <v>85</v>
      </c>
      <c r="I5" s="1" t="s">
        <v>86</v>
      </c>
      <c r="J5" s="1" t="s">
        <v>87</v>
      </c>
      <c r="K5" s="1" t="s">
        <v>88</v>
      </c>
      <c r="L5" s="1" t="n">
        <v>37000</v>
      </c>
      <c r="M5" s="1" t="s">
        <v>89</v>
      </c>
      <c r="N5" s="1" t="s">
        <v>64</v>
      </c>
      <c r="O5" s="1" t="s">
        <v>64</v>
      </c>
      <c r="P5" s="25" t="n">
        <v>45736</v>
      </c>
      <c r="Q5" s="26" t="n">
        <v>0.44375</v>
      </c>
      <c r="R5" s="26" t="n">
        <v>0.447916666666667</v>
      </c>
      <c r="U5" s="1" t="s">
        <v>76</v>
      </c>
      <c r="Y5" s="1" t="s">
        <v>82</v>
      </c>
      <c r="Z5" s="1" t="s">
        <v>68</v>
      </c>
      <c r="AB5" s="1" t="s">
        <v>90</v>
      </c>
      <c r="AL5" s="1" t="s">
        <v>91</v>
      </c>
      <c r="AM5" s="1" t="s">
        <v>64</v>
      </c>
      <c r="AP5" s="1" t="s">
        <v>65</v>
      </c>
      <c r="AQ5" s="1" t="s">
        <v>66</v>
      </c>
      <c r="AR5" s="1" t="s">
        <v>65</v>
      </c>
      <c r="AS5" s="1" t="s">
        <v>92</v>
      </c>
      <c r="AT5" s="1" t="n">
        <v>2</v>
      </c>
      <c r="AU5" s="1" t="s">
        <v>47</v>
      </c>
    </row>
    <row r="6" customFormat="false" ht="14.25" hidden="false" customHeight="true" outlineLevel="0" collapsed="false">
      <c r="A6" s="1" t="s">
        <v>93</v>
      </c>
      <c r="B6" s="1" t="s">
        <v>57</v>
      </c>
      <c r="C6" s="1" t="s">
        <v>46</v>
      </c>
      <c r="D6" s="1" t="s">
        <v>47</v>
      </c>
      <c r="E6" s="1" t="n">
        <v>12010997</v>
      </c>
      <c r="F6" s="19" t="n">
        <v>10000002063337</v>
      </c>
      <c r="G6" s="1" t="s">
        <v>58</v>
      </c>
      <c r="H6" s="1" t="s">
        <v>94</v>
      </c>
      <c r="I6" s="1" t="s">
        <v>95</v>
      </c>
      <c r="J6" s="1" t="s">
        <v>96</v>
      </c>
      <c r="K6" s="1" t="s">
        <v>97</v>
      </c>
      <c r="L6" s="1" t="n">
        <v>77539</v>
      </c>
      <c r="M6" s="1" t="s">
        <v>89</v>
      </c>
      <c r="N6" s="1" t="s">
        <v>64</v>
      </c>
      <c r="O6" s="1" t="s">
        <v>64</v>
      </c>
      <c r="P6" s="25" t="n">
        <v>45739</v>
      </c>
      <c r="Q6" s="26" t="n">
        <v>0.719444444444444</v>
      </c>
      <c r="R6" s="26" t="n">
        <v>0.723611111111111</v>
      </c>
      <c r="U6" s="1" t="s">
        <v>76</v>
      </c>
      <c r="Y6" s="1" t="s">
        <v>98</v>
      </c>
      <c r="Z6" s="1" t="s">
        <v>83</v>
      </c>
      <c r="AB6" s="1" t="s">
        <v>99</v>
      </c>
      <c r="AM6" s="1" t="s">
        <v>64</v>
      </c>
      <c r="AT6" s="1" t="n">
        <v>2</v>
      </c>
      <c r="AU6" s="1" t="s">
        <v>47</v>
      </c>
    </row>
    <row r="7" customFormat="false" ht="14.25" hidden="false" customHeight="true" outlineLevel="0" collapsed="false">
      <c r="A7" s="1" t="s">
        <v>100</v>
      </c>
      <c r="B7" s="1" t="s">
        <v>57</v>
      </c>
      <c r="C7" s="1" t="s">
        <v>46</v>
      </c>
      <c r="D7" s="1" t="s">
        <v>47</v>
      </c>
      <c r="E7" s="1" t="n">
        <v>12010998</v>
      </c>
      <c r="F7" s="19" t="n">
        <v>10000002063326</v>
      </c>
      <c r="G7" s="1" t="s">
        <v>58</v>
      </c>
      <c r="H7" s="1" t="s">
        <v>101</v>
      </c>
      <c r="I7" s="1" t="s">
        <v>102</v>
      </c>
      <c r="J7" s="1" t="s">
        <v>96</v>
      </c>
      <c r="K7" s="1" t="s">
        <v>97</v>
      </c>
      <c r="L7" s="1" t="n">
        <v>77519</v>
      </c>
      <c r="M7" s="1" t="s">
        <v>89</v>
      </c>
      <c r="N7" s="1" t="s">
        <v>64</v>
      </c>
      <c r="O7" s="1" t="s">
        <v>64</v>
      </c>
      <c r="P7" s="25" t="n">
        <v>45739</v>
      </c>
      <c r="Q7" s="26" t="n">
        <v>0.802777777777778</v>
      </c>
      <c r="R7" s="26" t="n">
        <v>0.804861111111111</v>
      </c>
      <c r="U7" s="1" t="s">
        <v>76</v>
      </c>
      <c r="Y7" s="1" t="s">
        <v>82</v>
      </c>
      <c r="Z7" s="1" t="s">
        <v>83</v>
      </c>
      <c r="AB7" s="1" t="s">
        <v>103</v>
      </c>
      <c r="AL7" s="1" t="s">
        <v>104</v>
      </c>
      <c r="AM7" s="1" t="s">
        <v>64</v>
      </c>
      <c r="AT7" s="1" t="n">
        <v>2</v>
      </c>
      <c r="AU7" s="1" t="s">
        <v>47</v>
      </c>
    </row>
    <row r="8" customFormat="false" ht="14.25" hidden="false" customHeight="true" outlineLevel="0" collapsed="false">
      <c r="A8" s="1" t="s">
        <v>105</v>
      </c>
      <c r="B8" s="1" t="s">
        <v>57</v>
      </c>
      <c r="C8" s="1" t="s">
        <v>46</v>
      </c>
      <c r="D8" s="1" t="s">
        <v>47</v>
      </c>
      <c r="E8" s="1" t="n">
        <v>12010472</v>
      </c>
      <c r="F8" s="19" t="n">
        <v>10000002534530</v>
      </c>
      <c r="G8" s="1" t="s">
        <v>58</v>
      </c>
      <c r="H8" s="1" t="s">
        <v>106</v>
      </c>
      <c r="I8" s="1" t="s">
        <v>107</v>
      </c>
      <c r="J8" s="1" t="s">
        <v>108</v>
      </c>
      <c r="K8" s="1" t="s">
        <v>62</v>
      </c>
      <c r="M8" s="1" t="s">
        <v>109</v>
      </c>
      <c r="N8" s="1" t="s">
        <v>110</v>
      </c>
      <c r="O8" s="1" t="s">
        <v>110</v>
      </c>
      <c r="P8" s="25" t="n">
        <v>45737</v>
      </c>
      <c r="Q8" s="26" t="n">
        <v>0.654166666666667</v>
      </c>
      <c r="R8" s="26" t="n">
        <v>0.665277777777778</v>
      </c>
      <c r="T8" s="1" t="s">
        <v>111</v>
      </c>
      <c r="U8" s="1" t="s">
        <v>76</v>
      </c>
      <c r="Y8" s="1" t="s">
        <v>82</v>
      </c>
      <c r="Z8" s="1" t="s">
        <v>68</v>
      </c>
      <c r="AB8" s="1" t="s">
        <v>112</v>
      </c>
      <c r="AE8" s="1" t="s">
        <v>113</v>
      </c>
      <c r="AF8" s="1" t="s">
        <v>76</v>
      </c>
      <c r="AL8" s="1" t="s">
        <v>114</v>
      </c>
      <c r="AM8" s="1" t="s">
        <v>110</v>
      </c>
      <c r="AN8" s="1" t="s">
        <v>65</v>
      </c>
      <c r="AT8" s="1" t="n">
        <v>1</v>
      </c>
      <c r="AU8" s="1" t="s">
        <v>47</v>
      </c>
    </row>
    <row r="9" customFormat="false" ht="14.25" hidden="false" customHeight="true" outlineLevel="0" collapsed="false">
      <c r="A9" s="1" t="s">
        <v>115</v>
      </c>
      <c r="B9" s="1" t="s">
        <v>57</v>
      </c>
      <c r="C9" s="1" t="s">
        <v>46</v>
      </c>
      <c r="D9" s="1" t="s">
        <v>47</v>
      </c>
      <c r="E9" s="1" t="n">
        <v>12010899</v>
      </c>
      <c r="F9" s="19" t="n">
        <v>10000002254943</v>
      </c>
      <c r="G9" s="1" t="s">
        <v>58</v>
      </c>
      <c r="H9" s="1" t="s">
        <v>116</v>
      </c>
      <c r="I9" s="1" t="s">
        <v>117</v>
      </c>
      <c r="J9" s="1" t="s">
        <v>87</v>
      </c>
      <c r="K9" s="1" t="s">
        <v>88</v>
      </c>
      <c r="L9" s="1" t="n">
        <v>37530</v>
      </c>
      <c r="M9" s="1" t="s">
        <v>89</v>
      </c>
      <c r="N9" s="1" t="s">
        <v>110</v>
      </c>
      <c r="O9" s="1" t="s">
        <v>110</v>
      </c>
      <c r="P9" s="25" t="n">
        <v>45740</v>
      </c>
      <c r="Q9" s="26" t="n">
        <v>0.43125</v>
      </c>
      <c r="R9" s="26" t="n">
        <v>0.433333333333333</v>
      </c>
      <c r="T9" s="1" t="s">
        <v>118</v>
      </c>
      <c r="U9" s="1" t="s">
        <v>76</v>
      </c>
      <c r="Y9" s="1" t="s">
        <v>119</v>
      </c>
      <c r="Z9" s="1" t="s">
        <v>68</v>
      </c>
      <c r="AB9" s="1" t="s">
        <v>120</v>
      </c>
      <c r="AE9" s="1" t="s">
        <v>121</v>
      </c>
      <c r="AF9" s="1" t="s">
        <v>65</v>
      </c>
      <c r="AG9" s="1" t="s">
        <v>82</v>
      </c>
      <c r="AJ9" s="1" t="s">
        <v>122</v>
      </c>
      <c r="AK9" s="1" t="s">
        <v>123</v>
      </c>
      <c r="AL9" s="1" t="s">
        <v>124</v>
      </c>
      <c r="AM9" s="1" t="s">
        <v>110</v>
      </c>
      <c r="AN9" s="1" t="s">
        <v>76</v>
      </c>
      <c r="AO9" s="1" t="s">
        <v>66</v>
      </c>
      <c r="AT9" s="1" t="n">
        <v>1</v>
      </c>
      <c r="AU9" s="1" t="s">
        <v>47</v>
      </c>
    </row>
    <row r="10" customFormat="false" ht="14.25" hidden="false" customHeight="true" outlineLevel="0" collapsed="false">
      <c r="A10" s="1" t="s">
        <v>125</v>
      </c>
      <c r="B10" s="1" t="s">
        <v>57</v>
      </c>
      <c r="C10" s="1" t="s">
        <v>46</v>
      </c>
      <c r="D10" s="1" t="s">
        <v>47</v>
      </c>
      <c r="E10" s="1" t="n">
        <v>12010423</v>
      </c>
      <c r="F10" s="19" t="n">
        <v>10000002606694</v>
      </c>
      <c r="G10" s="1" t="s">
        <v>58</v>
      </c>
      <c r="H10" s="1" t="s">
        <v>126</v>
      </c>
      <c r="I10" s="1" t="s">
        <v>127</v>
      </c>
      <c r="J10" s="1" t="s">
        <v>128</v>
      </c>
      <c r="K10" s="1" t="s">
        <v>62</v>
      </c>
      <c r="L10" s="1" t="n">
        <v>10301</v>
      </c>
      <c r="M10" s="1" t="s">
        <v>75</v>
      </c>
      <c r="N10" s="1" t="s">
        <v>64</v>
      </c>
      <c r="O10" s="1" t="s">
        <v>64</v>
      </c>
      <c r="P10" s="25" t="n">
        <v>45736</v>
      </c>
      <c r="Q10" s="26" t="n">
        <v>0.569444444444444</v>
      </c>
      <c r="R10" s="26" t="n">
        <v>0.586805555555556</v>
      </c>
      <c r="T10" s="1" t="s">
        <v>129</v>
      </c>
      <c r="U10" s="1" t="s">
        <v>76</v>
      </c>
      <c r="Y10" s="1" t="s">
        <v>82</v>
      </c>
      <c r="Z10" s="1" t="s">
        <v>83</v>
      </c>
      <c r="AB10" s="1" t="s">
        <v>130</v>
      </c>
      <c r="AE10" s="1" t="s">
        <v>131</v>
      </c>
      <c r="AF10" s="1" t="s">
        <v>76</v>
      </c>
      <c r="AL10" s="1" t="s">
        <v>132</v>
      </c>
      <c r="AM10" s="1" t="s">
        <v>64</v>
      </c>
      <c r="AN10" s="1" t="s">
        <v>65</v>
      </c>
      <c r="AP10" s="1" t="s">
        <v>65</v>
      </c>
      <c r="AQ10" s="1" t="s">
        <v>66</v>
      </c>
      <c r="AR10" s="1" t="s">
        <v>65</v>
      </c>
      <c r="AS10" s="1" t="s">
        <v>133</v>
      </c>
      <c r="AT10" s="1" t="n">
        <v>2</v>
      </c>
      <c r="AU10" s="1" t="s">
        <v>47</v>
      </c>
    </row>
    <row r="11" customFormat="false" ht="14.25" hidden="false" customHeight="true" outlineLevel="0" collapsed="false">
      <c r="A11" s="1" t="s">
        <v>134</v>
      </c>
      <c r="B11" s="1" t="s">
        <v>57</v>
      </c>
      <c r="C11" s="1" t="s">
        <v>46</v>
      </c>
      <c r="D11" s="1" t="s">
        <v>47</v>
      </c>
      <c r="E11" s="1" t="n">
        <v>12014008</v>
      </c>
      <c r="F11" s="19" t="n">
        <v>10000002019476</v>
      </c>
      <c r="G11" s="1" t="s">
        <v>58</v>
      </c>
      <c r="H11" s="1" t="s">
        <v>135</v>
      </c>
      <c r="I11" s="1" t="s">
        <v>136</v>
      </c>
      <c r="J11" s="1" t="s">
        <v>137</v>
      </c>
      <c r="K11" s="1" t="s">
        <v>62</v>
      </c>
      <c r="L11" s="1" t="n">
        <v>10901</v>
      </c>
      <c r="M11" s="1" t="s">
        <v>75</v>
      </c>
      <c r="N11" s="1" t="s">
        <v>64</v>
      </c>
      <c r="O11" s="1" t="s">
        <v>64</v>
      </c>
      <c r="P11" s="25" t="n">
        <v>45743</v>
      </c>
      <c r="Q11" s="26" t="n">
        <v>0.391666666666667</v>
      </c>
      <c r="R11" s="26" t="n">
        <v>0.40625</v>
      </c>
      <c r="T11" s="1" t="s">
        <v>111</v>
      </c>
      <c r="U11" s="1" t="s">
        <v>76</v>
      </c>
      <c r="Y11" s="1" t="s">
        <v>82</v>
      </c>
      <c r="Z11" s="1" t="s">
        <v>68</v>
      </c>
      <c r="AB11" s="1" t="s">
        <v>138</v>
      </c>
      <c r="AE11" s="1" t="s">
        <v>139</v>
      </c>
      <c r="AF11" s="1" t="s">
        <v>76</v>
      </c>
      <c r="AL11" s="1" t="s">
        <v>140</v>
      </c>
      <c r="AM11" s="1" t="s">
        <v>64</v>
      </c>
      <c r="AN11" s="1" t="s">
        <v>65</v>
      </c>
      <c r="AT11" s="1" t="n">
        <v>2</v>
      </c>
      <c r="AU11" s="1" t="s">
        <v>47</v>
      </c>
    </row>
    <row r="12" customFormat="false" ht="14.25" hidden="false" customHeight="true" outlineLevel="0" collapsed="false">
      <c r="A12" s="1" t="s">
        <v>141</v>
      </c>
      <c r="B12" s="1" t="s">
        <v>57</v>
      </c>
      <c r="C12" s="1" t="s">
        <v>46</v>
      </c>
      <c r="D12" s="1" t="s">
        <v>47</v>
      </c>
      <c r="E12" s="1" t="n">
        <v>12008883</v>
      </c>
      <c r="F12" s="19" t="n">
        <v>10000002173782</v>
      </c>
      <c r="G12" s="1" t="s">
        <v>58</v>
      </c>
      <c r="H12" s="1" t="s">
        <v>142</v>
      </c>
      <c r="I12" s="1" t="s">
        <v>143</v>
      </c>
      <c r="J12" s="1" t="s">
        <v>144</v>
      </c>
      <c r="K12" s="1" t="s">
        <v>62</v>
      </c>
      <c r="M12" s="1" t="s">
        <v>145</v>
      </c>
      <c r="N12" s="1" t="s">
        <v>64</v>
      </c>
      <c r="O12" s="1" t="s">
        <v>64</v>
      </c>
      <c r="P12" s="25" t="n">
        <v>45735</v>
      </c>
      <c r="Q12" s="26" t="n">
        <v>0.511111111111111</v>
      </c>
      <c r="R12" s="26" t="n">
        <v>0.513194444444444</v>
      </c>
      <c r="T12" s="1" t="s">
        <v>146</v>
      </c>
      <c r="U12" s="1" t="s">
        <v>76</v>
      </c>
      <c r="Y12" s="1" t="s">
        <v>147</v>
      </c>
      <c r="Z12" s="1" t="s">
        <v>68</v>
      </c>
      <c r="AB12" s="1" t="s">
        <v>148</v>
      </c>
      <c r="AE12" s="1" t="s">
        <v>149</v>
      </c>
      <c r="AF12" s="1" t="s">
        <v>76</v>
      </c>
      <c r="AL12" s="1" t="s">
        <v>150</v>
      </c>
      <c r="AM12" s="1" t="s">
        <v>64</v>
      </c>
      <c r="AN12" s="1" t="s">
        <v>65</v>
      </c>
      <c r="AP12" s="1" t="s">
        <v>65</v>
      </c>
      <c r="AQ12" s="1" t="s">
        <v>66</v>
      </c>
      <c r="AR12" s="1" t="s">
        <v>65</v>
      </c>
      <c r="AS12" s="1" t="s">
        <v>151</v>
      </c>
      <c r="AT12" s="1" t="n">
        <v>2</v>
      </c>
      <c r="AU12" s="1" t="s">
        <v>47</v>
      </c>
    </row>
    <row r="13" customFormat="false" ht="14.25" hidden="false" customHeight="true" outlineLevel="0" collapsed="false">
      <c r="A13" s="1" t="s">
        <v>152</v>
      </c>
      <c r="B13" s="1" t="s">
        <v>57</v>
      </c>
      <c r="C13" s="1" t="s">
        <v>46</v>
      </c>
      <c r="D13" s="1" t="s">
        <v>47</v>
      </c>
      <c r="E13" s="1" t="n">
        <v>12009869</v>
      </c>
      <c r="F13" s="19" t="n">
        <v>10000000579980</v>
      </c>
      <c r="G13" s="1" t="s">
        <v>58</v>
      </c>
      <c r="H13" s="1" t="s">
        <v>153</v>
      </c>
      <c r="I13" s="1" t="s">
        <v>154</v>
      </c>
      <c r="J13" s="1" t="s">
        <v>155</v>
      </c>
      <c r="K13" s="1" t="s">
        <v>156</v>
      </c>
      <c r="M13" s="1" t="s">
        <v>157</v>
      </c>
      <c r="N13" s="1" t="s">
        <v>64</v>
      </c>
      <c r="O13" s="1" t="s">
        <v>64</v>
      </c>
      <c r="P13" s="25" t="n">
        <v>45736</v>
      </c>
      <c r="Q13" s="26" t="n">
        <v>0.554166666666667</v>
      </c>
      <c r="R13" s="26" t="n">
        <v>0.5625</v>
      </c>
      <c r="T13" s="1" t="s">
        <v>146</v>
      </c>
      <c r="U13" s="1" t="s">
        <v>65</v>
      </c>
      <c r="V13" s="1" t="s">
        <v>66</v>
      </c>
      <c r="Y13" s="1" t="s">
        <v>82</v>
      </c>
      <c r="Z13" s="1" t="s">
        <v>68</v>
      </c>
      <c r="AB13" s="1" t="s">
        <v>158</v>
      </c>
      <c r="AE13" s="1" t="s">
        <v>159</v>
      </c>
      <c r="AF13" s="1" t="s">
        <v>76</v>
      </c>
      <c r="AL13" s="1" t="s">
        <v>160</v>
      </c>
      <c r="AM13" s="1" t="s">
        <v>64</v>
      </c>
      <c r="AN13" s="1" t="s">
        <v>65</v>
      </c>
      <c r="AT13" s="1" t="n">
        <v>2</v>
      </c>
      <c r="AU13" s="1" t="s">
        <v>47</v>
      </c>
    </row>
    <row r="14" customFormat="false" ht="14.25" hidden="false" customHeight="true" outlineLevel="0" collapsed="false">
      <c r="A14" s="1" t="s">
        <v>161</v>
      </c>
      <c r="B14" s="1" t="s">
        <v>57</v>
      </c>
      <c r="C14" s="1" t="s">
        <v>46</v>
      </c>
      <c r="D14" s="1" t="s">
        <v>47</v>
      </c>
      <c r="E14" s="1" t="n">
        <v>12008813</v>
      </c>
      <c r="F14" s="19" t="n">
        <v>10000000694043</v>
      </c>
      <c r="G14" s="1" t="s">
        <v>58</v>
      </c>
      <c r="H14" s="1" t="s">
        <v>162</v>
      </c>
      <c r="I14" s="1" t="s">
        <v>163</v>
      </c>
      <c r="J14" s="1" t="s">
        <v>164</v>
      </c>
      <c r="K14" s="1" t="s">
        <v>62</v>
      </c>
      <c r="M14" s="1" t="s">
        <v>165</v>
      </c>
      <c r="N14" s="1" t="s">
        <v>64</v>
      </c>
      <c r="O14" s="1" t="s">
        <v>64</v>
      </c>
      <c r="P14" s="25" t="n">
        <v>45737</v>
      </c>
      <c r="Q14" s="26" t="n">
        <v>0.397222222222222</v>
      </c>
      <c r="R14" s="26" t="n">
        <v>0.402083333333333</v>
      </c>
      <c r="T14" s="1" t="s">
        <v>146</v>
      </c>
      <c r="U14" s="1" t="s">
        <v>76</v>
      </c>
      <c r="Y14" s="1" t="s">
        <v>82</v>
      </c>
      <c r="Z14" s="1" t="s">
        <v>68</v>
      </c>
      <c r="AB14" s="1" t="s">
        <v>166</v>
      </c>
      <c r="AE14" s="1" t="s">
        <v>167</v>
      </c>
      <c r="AF14" s="1" t="s">
        <v>76</v>
      </c>
      <c r="AL14" s="1" t="s">
        <v>168</v>
      </c>
      <c r="AM14" s="1" t="s">
        <v>64</v>
      </c>
      <c r="AN14" s="1" t="s">
        <v>76</v>
      </c>
      <c r="AO14" s="1" t="s">
        <v>66</v>
      </c>
      <c r="AT14" s="1" t="n">
        <v>2</v>
      </c>
      <c r="AU14" s="1" t="s">
        <v>47</v>
      </c>
    </row>
    <row r="15" customFormat="false" ht="14.25" hidden="false" customHeight="true" outlineLevel="0" collapsed="false">
      <c r="B15" s="1" t="s">
        <v>169</v>
      </c>
      <c r="C15" s="1" t="s">
        <v>46</v>
      </c>
      <c r="D15" s="1" t="s">
        <v>47</v>
      </c>
      <c r="E15" s="1" t="n">
        <v>12014121</v>
      </c>
      <c r="F15" s="19" t="n">
        <v>10000002051963</v>
      </c>
      <c r="G15" s="1" t="s">
        <v>48</v>
      </c>
      <c r="H15" s="1" t="s">
        <v>170</v>
      </c>
      <c r="I15" s="1" t="s">
        <v>171</v>
      </c>
      <c r="J15" s="1" t="s">
        <v>172</v>
      </c>
      <c r="K15" s="1" t="s">
        <v>173</v>
      </c>
      <c r="L15" s="1" t="n">
        <v>64000</v>
      </c>
      <c r="M15" s="1" t="s">
        <v>89</v>
      </c>
      <c r="N15" s="1" t="s">
        <v>64</v>
      </c>
      <c r="O15" s="1" t="s">
        <v>64</v>
      </c>
      <c r="P15" s="25" t="n">
        <v>45743</v>
      </c>
      <c r="Q15" s="26" t="n">
        <v>0.502083333333333</v>
      </c>
      <c r="R15" s="26" t="n">
        <v>0.503472222222222</v>
      </c>
      <c r="T15" s="1" t="s">
        <v>174</v>
      </c>
      <c r="U15" s="1" t="s">
        <v>65</v>
      </c>
      <c r="V15" s="1" t="s">
        <v>66</v>
      </c>
      <c r="Y15" s="1" t="s">
        <v>175</v>
      </c>
      <c r="Z15" s="1" t="s">
        <v>68</v>
      </c>
      <c r="AB15" s="1" t="s">
        <v>176</v>
      </c>
      <c r="AE15" s="1" t="s">
        <v>177</v>
      </c>
      <c r="AF15" s="1" t="s">
        <v>76</v>
      </c>
      <c r="AL15" s="1" t="s">
        <v>178</v>
      </c>
      <c r="AM15" s="1" t="s">
        <v>64</v>
      </c>
      <c r="AN15" s="1" t="s">
        <v>65</v>
      </c>
      <c r="AT15" s="1" t="n">
        <v>2</v>
      </c>
      <c r="AU15" s="1" t="s">
        <v>47</v>
      </c>
    </row>
    <row r="16" customFormat="false" ht="14.25" hidden="false" customHeight="true" outlineLevel="0" collapsed="false">
      <c r="A16" s="1" t="s">
        <v>179</v>
      </c>
      <c r="B16" s="1" t="s">
        <v>57</v>
      </c>
      <c r="C16" s="1" t="s">
        <v>46</v>
      </c>
      <c r="D16" s="1" t="s">
        <v>47</v>
      </c>
      <c r="E16" s="1" t="n">
        <v>12014134</v>
      </c>
      <c r="F16" s="19" t="n">
        <v>10000000641655</v>
      </c>
      <c r="G16" s="1" t="s">
        <v>58</v>
      </c>
      <c r="H16" s="1" t="s">
        <v>180</v>
      </c>
      <c r="I16" s="1" t="s">
        <v>181</v>
      </c>
      <c r="J16" s="1" t="s">
        <v>87</v>
      </c>
      <c r="K16" s="1" t="s">
        <v>88</v>
      </c>
      <c r="L16" s="1" t="n">
        <v>37000</v>
      </c>
      <c r="M16" s="1" t="s">
        <v>89</v>
      </c>
      <c r="N16" s="1" t="s">
        <v>64</v>
      </c>
      <c r="O16" s="1" t="s">
        <v>64</v>
      </c>
      <c r="P16" s="25" t="n">
        <v>45740</v>
      </c>
      <c r="Q16" s="26" t="n">
        <v>0.469444444444444</v>
      </c>
      <c r="R16" s="26" t="n">
        <v>0.476388888888889</v>
      </c>
      <c r="T16" s="1" t="s">
        <v>118</v>
      </c>
      <c r="U16" s="1" t="s">
        <v>76</v>
      </c>
      <c r="Y16" s="1" t="s">
        <v>82</v>
      </c>
      <c r="Z16" s="1" t="s">
        <v>68</v>
      </c>
      <c r="AB16" s="1" t="s">
        <v>182</v>
      </c>
      <c r="AE16" s="1" t="s">
        <v>183</v>
      </c>
      <c r="AF16" s="1" t="s">
        <v>76</v>
      </c>
      <c r="AL16" s="1" t="s">
        <v>184</v>
      </c>
      <c r="AM16" s="1" t="s">
        <v>64</v>
      </c>
      <c r="AN16" s="1" t="s">
        <v>65</v>
      </c>
      <c r="AT16" s="1" t="n">
        <v>2</v>
      </c>
      <c r="AU16" s="1" t="s">
        <v>47</v>
      </c>
    </row>
    <row r="17" customFormat="false" ht="14.25" hidden="false" customHeight="true" outlineLevel="0" collapsed="false">
      <c r="A17" s="1" t="s">
        <v>185</v>
      </c>
      <c r="B17" s="1" t="s">
        <v>57</v>
      </c>
      <c r="C17" s="1" t="s">
        <v>46</v>
      </c>
      <c r="D17" s="1" t="s">
        <v>47</v>
      </c>
      <c r="E17" s="1" t="n">
        <v>12014135</v>
      </c>
      <c r="F17" s="19" t="n">
        <v>10000001547295</v>
      </c>
      <c r="G17" s="1" t="s">
        <v>58</v>
      </c>
      <c r="H17" s="1" t="s">
        <v>186</v>
      </c>
      <c r="I17" s="1" t="s">
        <v>187</v>
      </c>
      <c r="J17" s="1" t="s">
        <v>87</v>
      </c>
      <c r="K17" s="1" t="s">
        <v>88</v>
      </c>
      <c r="L17" s="1" t="n">
        <v>37160</v>
      </c>
      <c r="M17" s="1" t="s">
        <v>89</v>
      </c>
      <c r="N17" s="1" t="s">
        <v>64</v>
      </c>
      <c r="O17" s="1" t="s">
        <v>64</v>
      </c>
      <c r="P17" s="25" t="n">
        <v>45740</v>
      </c>
      <c r="Q17" s="26" t="n">
        <v>0.49375</v>
      </c>
      <c r="R17" s="26" t="n">
        <v>0.496527777777778</v>
      </c>
      <c r="T17" s="1" t="s">
        <v>118</v>
      </c>
      <c r="U17" s="1" t="s">
        <v>76</v>
      </c>
      <c r="Y17" s="1" t="s">
        <v>82</v>
      </c>
      <c r="Z17" s="1" t="s">
        <v>68</v>
      </c>
      <c r="AB17" s="1" t="s">
        <v>188</v>
      </c>
      <c r="AE17" s="1" t="s">
        <v>189</v>
      </c>
      <c r="AF17" s="1" t="s">
        <v>76</v>
      </c>
      <c r="AL17" s="1" t="s">
        <v>190</v>
      </c>
      <c r="AM17" s="1" t="s">
        <v>64</v>
      </c>
      <c r="AN17" s="1" t="s">
        <v>65</v>
      </c>
      <c r="AP17" s="1" t="s">
        <v>65</v>
      </c>
      <c r="AQ17" s="1" t="s">
        <v>66</v>
      </c>
      <c r="AR17" s="1" t="s">
        <v>65</v>
      </c>
      <c r="AS17" s="1" t="s">
        <v>92</v>
      </c>
      <c r="AT17" s="1" t="n">
        <v>2</v>
      </c>
      <c r="AU17" s="1" t="s">
        <v>47</v>
      </c>
    </row>
    <row r="18" customFormat="false" ht="14.25" hidden="false" customHeight="true" outlineLevel="0" collapsed="false">
      <c r="A18" s="1" t="s">
        <v>191</v>
      </c>
      <c r="B18" s="1" t="s">
        <v>57</v>
      </c>
      <c r="C18" s="1" t="s">
        <v>46</v>
      </c>
      <c r="D18" s="1" t="s">
        <v>47</v>
      </c>
      <c r="E18" s="1" t="n">
        <v>12014204</v>
      </c>
      <c r="F18" s="19" t="n">
        <v>10000002063316</v>
      </c>
      <c r="G18" s="1" t="s">
        <v>58</v>
      </c>
      <c r="H18" s="1" t="s">
        <v>192</v>
      </c>
      <c r="I18" s="1" t="s">
        <v>193</v>
      </c>
      <c r="J18" s="1" t="s">
        <v>96</v>
      </c>
      <c r="K18" s="1" t="s">
        <v>97</v>
      </c>
      <c r="L18" s="1" t="n">
        <v>77535</v>
      </c>
      <c r="M18" s="1" t="s">
        <v>89</v>
      </c>
      <c r="N18" s="1" t="s">
        <v>64</v>
      </c>
      <c r="O18" s="1" t="s">
        <v>64</v>
      </c>
      <c r="P18" s="25" t="n">
        <v>45739</v>
      </c>
      <c r="Q18" s="26" t="n">
        <v>0.830555555555556</v>
      </c>
      <c r="R18" s="26" t="n">
        <v>0.834722222222222</v>
      </c>
      <c r="U18" s="1" t="s">
        <v>76</v>
      </c>
      <c r="V18" s="1" t="s">
        <v>66</v>
      </c>
      <c r="Y18" s="1" t="s">
        <v>82</v>
      </c>
      <c r="Z18" s="1" t="s">
        <v>68</v>
      </c>
      <c r="AB18" s="1" t="s">
        <v>194</v>
      </c>
      <c r="AL18" s="1" t="s">
        <v>195</v>
      </c>
      <c r="AM18" s="1" t="s">
        <v>64</v>
      </c>
      <c r="AT18" s="1" t="n">
        <v>2</v>
      </c>
      <c r="AU18" s="1" t="s">
        <v>47</v>
      </c>
    </row>
    <row r="19" customFormat="false" ht="14.25" hidden="false" customHeight="true" outlineLevel="0" collapsed="false">
      <c r="A19" s="1" t="s">
        <v>196</v>
      </c>
      <c r="B19" s="1" t="s">
        <v>57</v>
      </c>
      <c r="C19" s="1" t="s">
        <v>46</v>
      </c>
      <c r="D19" s="1" t="s">
        <v>47</v>
      </c>
      <c r="E19" s="1" t="n">
        <v>12014205</v>
      </c>
      <c r="F19" s="19" t="n">
        <v>10000002063324</v>
      </c>
      <c r="G19" s="1" t="s">
        <v>58</v>
      </c>
      <c r="H19" s="1" t="s">
        <v>197</v>
      </c>
      <c r="I19" s="1" t="s">
        <v>198</v>
      </c>
      <c r="J19" s="1" t="s">
        <v>96</v>
      </c>
      <c r="K19" s="1" t="s">
        <v>97</v>
      </c>
      <c r="L19" s="1" t="n">
        <v>77500</v>
      </c>
      <c r="M19" s="1" t="s">
        <v>89</v>
      </c>
      <c r="N19" s="1" t="s">
        <v>64</v>
      </c>
      <c r="O19" s="1" t="s">
        <v>64</v>
      </c>
      <c r="P19" s="25" t="n">
        <v>45739</v>
      </c>
      <c r="Q19" s="26" t="n">
        <v>0.777083333333333</v>
      </c>
      <c r="R19" s="26" t="n">
        <v>0.780555555555556</v>
      </c>
      <c r="T19" s="1" t="s">
        <v>146</v>
      </c>
      <c r="U19" s="1" t="s">
        <v>76</v>
      </c>
      <c r="Y19" s="1" t="s">
        <v>199</v>
      </c>
      <c r="Z19" s="1" t="s">
        <v>83</v>
      </c>
      <c r="AB19" s="1" t="s">
        <v>200</v>
      </c>
      <c r="AE19" s="1" t="s">
        <v>201</v>
      </c>
      <c r="AF19" s="1" t="s">
        <v>76</v>
      </c>
      <c r="AL19" s="1" t="s">
        <v>202</v>
      </c>
      <c r="AM19" s="1" t="s">
        <v>64</v>
      </c>
      <c r="AN19" s="1" t="s">
        <v>65</v>
      </c>
      <c r="AT19" s="1" t="n">
        <v>2</v>
      </c>
      <c r="AU19" s="1" t="s">
        <v>47</v>
      </c>
    </row>
    <row r="20" customFormat="false" ht="14.25" hidden="false" customHeight="true" outlineLevel="0" collapsed="false">
      <c r="A20" s="1" t="s">
        <v>203</v>
      </c>
      <c r="B20" s="1" t="s">
        <v>57</v>
      </c>
      <c r="C20" s="1" t="s">
        <v>46</v>
      </c>
      <c r="D20" s="1" t="s">
        <v>47</v>
      </c>
      <c r="E20" s="1" t="n">
        <v>12014407</v>
      </c>
      <c r="F20" s="19" t="n">
        <v>10000002458718</v>
      </c>
      <c r="G20" s="1" t="s">
        <v>58</v>
      </c>
      <c r="H20" s="1" t="s">
        <v>204</v>
      </c>
      <c r="I20" s="1" t="s">
        <v>205</v>
      </c>
      <c r="J20" s="1" t="s">
        <v>206</v>
      </c>
      <c r="K20" s="1" t="s">
        <v>207</v>
      </c>
      <c r="L20" s="1" t="n">
        <v>45030</v>
      </c>
      <c r="M20" s="1" t="s">
        <v>89</v>
      </c>
      <c r="N20" s="1" t="s">
        <v>64</v>
      </c>
      <c r="O20" s="1" t="s">
        <v>64</v>
      </c>
      <c r="P20" s="25" t="n">
        <v>45742</v>
      </c>
      <c r="Q20" s="26" t="n">
        <v>0.760416666666667</v>
      </c>
      <c r="R20" s="26" t="n">
        <v>0.761805555555556</v>
      </c>
      <c r="T20" s="1" t="s">
        <v>174</v>
      </c>
      <c r="U20" s="1" t="s">
        <v>65</v>
      </c>
      <c r="V20" s="1" t="s">
        <v>66</v>
      </c>
      <c r="Y20" s="1" t="s">
        <v>82</v>
      </c>
      <c r="Z20" s="1" t="s">
        <v>83</v>
      </c>
      <c r="AB20" s="1" t="s">
        <v>208</v>
      </c>
      <c r="AE20" s="1" t="s">
        <v>209</v>
      </c>
      <c r="AF20" s="1" t="s">
        <v>76</v>
      </c>
      <c r="AL20" s="1" t="s">
        <v>210</v>
      </c>
      <c r="AM20" s="1" t="s">
        <v>64</v>
      </c>
      <c r="AN20" s="1" t="s">
        <v>65</v>
      </c>
      <c r="AT20" s="1" t="n">
        <v>2</v>
      </c>
      <c r="AU20" s="1" t="s">
        <v>47</v>
      </c>
    </row>
    <row r="21" customFormat="false" ht="14.25" hidden="false" customHeight="true" outlineLevel="0" collapsed="false">
      <c r="A21" s="1" t="s">
        <v>211</v>
      </c>
      <c r="B21" s="1" t="s">
        <v>57</v>
      </c>
      <c r="C21" s="1" t="s">
        <v>46</v>
      </c>
      <c r="D21" s="1" t="s">
        <v>47</v>
      </c>
      <c r="E21" s="1" t="n">
        <v>12014413</v>
      </c>
      <c r="F21" s="19" t="n">
        <v>10000002698941</v>
      </c>
      <c r="G21" s="1" t="s">
        <v>58</v>
      </c>
      <c r="H21" s="1" t="s">
        <v>212</v>
      </c>
      <c r="I21" s="1" t="s">
        <v>213</v>
      </c>
      <c r="J21" s="1" t="s">
        <v>206</v>
      </c>
      <c r="K21" s="1" t="s">
        <v>207</v>
      </c>
      <c r="L21" s="1" t="n">
        <v>45050</v>
      </c>
      <c r="M21" s="1" t="s">
        <v>89</v>
      </c>
      <c r="N21" s="1" t="s">
        <v>64</v>
      </c>
      <c r="O21" s="1" t="s">
        <v>64</v>
      </c>
      <c r="P21" s="25" t="n">
        <v>45742</v>
      </c>
      <c r="Q21" s="26" t="n">
        <v>0.790277777777778</v>
      </c>
      <c r="R21" s="26" t="n">
        <v>0.792361111111111</v>
      </c>
      <c r="T21" s="1" t="s">
        <v>214</v>
      </c>
      <c r="U21" s="1" t="s">
        <v>76</v>
      </c>
      <c r="Y21" s="1" t="s">
        <v>82</v>
      </c>
      <c r="Z21" s="1" t="s">
        <v>83</v>
      </c>
      <c r="AB21" s="1" t="s">
        <v>215</v>
      </c>
      <c r="AE21" s="1" t="s">
        <v>216</v>
      </c>
      <c r="AF21" s="1" t="s">
        <v>76</v>
      </c>
      <c r="AL21" s="1" t="s">
        <v>217</v>
      </c>
      <c r="AM21" s="1" t="s">
        <v>64</v>
      </c>
      <c r="AN21" s="1" t="s">
        <v>65</v>
      </c>
      <c r="AP21" s="1" t="s">
        <v>65</v>
      </c>
      <c r="AQ21" s="1" t="s">
        <v>66</v>
      </c>
      <c r="AR21" s="1" t="s">
        <v>65</v>
      </c>
      <c r="AS21" s="1" t="s">
        <v>92</v>
      </c>
      <c r="AT21" s="1" t="n">
        <v>2</v>
      </c>
      <c r="AU21" s="1" t="s">
        <v>47</v>
      </c>
    </row>
    <row r="22" customFormat="false" ht="14.25" hidden="false" customHeight="true" outlineLevel="0" collapsed="false">
      <c r="A22" s="1" t="s">
        <v>218</v>
      </c>
      <c r="B22" s="1" t="s">
        <v>57</v>
      </c>
      <c r="C22" s="1" t="s">
        <v>46</v>
      </c>
      <c r="D22" s="1" t="s">
        <v>47</v>
      </c>
      <c r="E22" s="1" t="n">
        <v>12014416</v>
      </c>
      <c r="F22" s="19" t="n">
        <v>10000002713077</v>
      </c>
      <c r="G22" s="1" t="s">
        <v>58</v>
      </c>
      <c r="H22" s="1" t="s">
        <v>219</v>
      </c>
      <c r="I22" s="1" t="s">
        <v>220</v>
      </c>
      <c r="J22" s="1" t="s">
        <v>206</v>
      </c>
      <c r="K22" s="1" t="s">
        <v>207</v>
      </c>
      <c r="L22" s="1" t="n">
        <v>45050</v>
      </c>
      <c r="M22" s="1" t="s">
        <v>89</v>
      </c>
      <c r="N22" s="1" t="s">
        <v>64</v>
      </c>
      <c r="O22" s="1" t="s">
        <v>64</v>
      </c>
      <c r="P22" s="25" t="n">
        <v>45745</v>
      </c>
      <c r="Q22" s="26" t="n">
        <v>0.478472222222222</v>
      </c>
      <c r="R22" s="26" t="n">
        <v>0.480555555555556</v>
      </c>
      <c r="T22" s="1" t="s">
        <v>174</v>
      </c>
      <c r="U22" s="1" t="s">
        <v>76</v>
      </c>
      <c r="Y22" s="1" t="s">
        <v>82</v>
      </c>
      <c r="Z22" s="1" t="s">
        <v>83</v>
      </c>
      <c r="AB22" s="1" t="s">
        <v>221</v>
      </c>
      <c r="AE22" s="1" t="s">
        <v>222</v>
      </c>
      <c r="AF22" s="1" t="s">
        <v>76</v>
      </c>
      <c r="AL22" s="1" t="s">
        <v>223</v>
      </c>
      <c r="AM22" s="1" t="s">
        <v>64</v>
      </c>
      <c r="AN22" s="1" t="s">
        <v>65</v>
      </c>
      <c r="AT22" s="1" t="n">
        <v>2</v>
      </c>
      <c r="AU22" s="1" t="s">
        <v>47</v>
      </c>
    </row>
    <row r="23" customFormat="false" ht="14.25" hidden="false" customHeight="true" outlineLevel="0" collapsed="false">
      <c r="A23" s="1" t="s">
        <v>224</v>
      </c>
      <c r="B23" s="1" t="s">
        <v>57</v>
      </c>
      <c r="C23" s="1" t="s">
        <v>46</v>
      </c>
      <c r="D23" s="1" t="s">
        <v>47</v>
      </c>
      <c r="E23" s="1" t="n">
        <v>12014516</v>
      </c>
      <c r="F23" s="19" t="n">
        <v>10000002063310</v>
      </c>
      <c r="G23" s="1" t="s">
        <v>58</v>
      </c>
      <c r="H23" s="1" t="s">
        <v>225</v>
      </c>
      <c r="I23" s="1" t="s">
        <v>226</v>
      </c>
      <c r="J23" s="1" t="s">
        <v>96</v>
      </c>
      <c r="K23" s="1" t="s">
        <v>97</v>
      </c>
      <c r="L23" s="1" t="n">
        <v>77517</v>
      </c>
      <c r="M23" s="1" t="s">
        <v>89</v>
      </c>
      <c r="N23" s="1" t="s">
        <v>64</v>
      </c>
      <c r="O23" s="1" t="s">
        <v>64</v>
      </c>
      <c r="P23" s="25" t="n">
        <v>45739</v>
      </c>
      <c r="Q23" s="26" t="n">
        <v>0.790972222222222</v>
      </c>
      <c r="R23" s="26" t="n">
        <v>0.794444444444444</v>
      </c>
      <c r="T23" s="1" t="s">
        <v>146</v>
      </c>
      <c r="U23" s="1" t="s">
        <v>65</v>
      </c>
      <c r="V23" s="1" t="s">
        <v>66</v>
      </c>
      <c r="Y23" s="1" t="s">
        <v>227</v>
      </c>
      <c r="Z23" s="1" t="s">
        <v>68</v>
      </c>
      <c r="AB23" s="1" t="s">
        <v>228</v>
      </c>
      <c r="AE23" s="1" t="s">
        <v>229</v>
      </c>
      <c r="AF23" s="1" t="s">
        <v>65</v>
      </c>
      <c r="AG23" s="1" t="s">
        <v>230</v>
      </c>
      <c r="AJ23" s="1" t="s">
        <v>231</v>
      </c>
      <c r="AK23" s="1" t="s">
        <v>232</v>
      </c>
      <c r="AL23" s="1" t="s">
        <v>233</v>
      </c>
      <c r="AM23" s="1" t="s">
        <v>64</v>
      </c>
      <c r="AN23" s="1" t="s">
        <v>65</v>
      </c>
      <c r="AT23" s="1" t="n">
        <v>2</v>
      </c>
      <c r="AU23" s="1" t="s">
        <v>47</v>
      </c>
    </row>
    <row r="24" customFormat="false" ht="14.25" hidden="false" customHeight="true" outlineLevel="0" collapsed="false">
      <c r="A24" s="1" t="s">
        <v>234</v>
      </c>
      <c r="B24" s="1" t="s">
        <v>57</v>
      </c>
      <c r="C24" s="1" t="s">
        <v>46</v>
      </c>
      <c r="D24" s="1" t="s">
        <v>47</v>
      </c>
      <c r="E24" s="1" t="n">
        <v>12014415</v>
      </c>
      <c r="F24" s="19" t="n">
        <v>10000002721608</v>
      </c>
      <c r="G24" s="1" t="s">
        <v>58</v>
      </c>
      <c r="H24" s="1" t="s">
        <v>235</v>
      </c>
      <c r="I24" s="1" t="s">
        <v>236</v>
      </c>
      <c r="J24" s="1" t="s">
        <v>206</v>
      </c>
      <c r="K24" s="1" t="s">
        <v>207</v>
      </c>
      <c r="L24" s="1" t="n">
        <v>45040</v>
      </c>
      <c r="M24" s="1" t="s">
        <v>89</v>
      </c>
      <c r="N24" s="1" t="s">
        <v>64</v>
      </c>
      <c r="O24" s="1" t="s">
        <v>64</v>
      </c>
      <c r="P24" s="25" t="n">
        <v>45742</v>
      </c>
      <c r="Q24" s="26" t="n">
        <v>0.775</v>
      </c>
      <c r="R24" s="26" t="n">
        <v>0.777083333333333</v>
      </c>
      <c r="T24" s="1" t="s">
        <v>214</v>
      </c>
      <c r="U24" s="1" t="s">
        <v>76</v>
      </c>
      <c r="Y24" s="1" t="s">
        <v>175</v>
      </c>
      <c r="Z24" s="1" t="s">
        <v>83</v>
      </c>
      <c r="AB24" s="1" t="s">
        <v>237</v>
      </c>
      <c r="AE24" s="1" t="s">
        <v>238</v>
      </c>
      <c r="AF24" s="1" t="s">
        <v>76</v>
      </c>
      <c r="AL24" s="1" t="s">
        <v>239</v>
      </c>
      <c r="AM24" s="1" t="s">
        <v>64</v>
      </c>
      <c r="AN24" s="1" t="s">
        <v>65</v>
      </c>
      <c r="AT24" s="1" t="n">
        <v>2</v>
      </c>
      <c r="AU24" s="1" t="s">
        <v>47</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G127"/>
  <sheetViews>
    <sheetView showFormulas="false" showGridLines="true" showRowColHeaders="true" showZeros="true" rightToLeft="false" tabSelected="false" showOutlineSymbols="true" defaultGridColor="true" view="normal" topLeftCell="A1" colorId="64" zoomScale="73" zoomScaleNormal="73" zoomScalePageLayoutView="100" workbookViewId="0">
      <selection pane="topLeft" activeCell="B9" activeCellId="0" sqref="B9"/>
    </sheetView>
  </sheetViews>
  <sheetFormatPr defaultColWidth="8.6796875" defaultRowHeight="14.25" zeroHeight="false" outlineLevelRow="0" outlineLevelCol="0"/>
  <cols>
    <col collapsed="false" customWidth="true" hidden="false" outlineLevel="0" max="1" min="1" style="1" width="96.45"/>
    <col collapsed="false" customWidth="true" hidden="false" outlineLevel="0" max="2" min="2" style="1" width="36.54"/>
    <col collapsed="false" customWidth="true" hidden="false" outlineLevel="0" max="3" min="3" style="1" width="21.18"/>
    <col collapsed="false" customWidth="true" hidden="false" outlineLevel="0" max="4" min="4" style="1" width="8.82"/>
    <col collapsed="false" customWidth="true" hidden="false" outlineLevel="0" max="5" min="5" style="1" width="0.18"/>
    <col collapsed="false" customWidth="true" hidden="false" outlineLevel="0" max="6" min="6" style="1" width="63.91"/>
  </cols>
  <sheetData>
    <row r="1" customFormat="false" ht="14.25" hidden="false" customHeight="true" outlineLevel="0" collapsed="false">
      <c r="A1" s="1" t="s">
        <v>4</v>
      </c>
      <c r="B1" s="1" t="s">
        <v>240</v>
      </c>
      <c r="C1" s="1" t="n">
        <v>1</v>
      </c>
      <c r="F1" s="27" t="s">
        <v>241</v>
      </c>
      <c r="G1" s="28" t="n">
        <v>1</v>
      </c>
    </row>
    <row r="2" customFormat="false" ht="14.25" hidden="false" customHeight="true" outlineLevel="0" collapsed="false">
      <c r="A2" s="1" t="s">
        <v>5</v>
      </c>
      <c r="B2" s="1" t="s">
        <v>242</v>
      </c>
      <c r="C2" s="1" t="n">
        <v>10</v>
      </c>
      <c r="F2" s="1" t="s">
        <v>243</v>
      </c>
      <c r="G2" s="28" t="n">
        <v>2</v>
      </c>
    </row>
    <row r="3" customFormat="false" ht="14.25" hidden="false" customHeight="true" outlineLevel="0" collapsed="false">
      <c r="A3" s="1" t="s">
        <v>7</v>
      </c>
      <c r="B3" s="1" t="s">
        <v>244</v>
      </c>
      <c r="C3" s="1" t="n">
        <v>11</v>
      </c>
      <c r="F3" s="1" t="s">
        <v>245</v>
      </c>
      <c r="G3" s="28" t="n">
        <v>3</v>
      </c>
    </row>
    <row r="4" customFormat="false" ht="14.25" hidden="false" customHeight="true" outlineLevel="0" collapsed="false">
      <c r="A4" s="1" t="s">
        <v>8</v>
      </c>
      <c r="B4" s="1" t="s">
        <v>246</v>
      </c>
      <c r="C4" s="1" t="n">
        <v>12</v>
      </c>
      <c r="F4" s="1" t="s">
        <v>247</v>
      </c>
      <c r="G4" s="28" t="n">
        <v>4</v>
      </c>
    </row>
    <row r="5" customFormat="false" ht="14.25" hidden="false" customHeight="true" outlineLevel="0" collapsed="false">
      <c r="A5" s="1" t="s">
        <v>9</v>
      </c>
      <c r="B5" s="1" t="s">
        <v>248</v>
      </c>
      <c r="C5" s="1" t="n">
        <v>13</v>
      </c>
      <c r="F5" s="1" t="s">
        <v>249</v>
      </c>
      <c r="G5" s="28" t="n">
        <v>5</v>
      </c>
    </row>
    <row r="6" customFormat="false" ht="14.25" hidden="false" customHeight="true" outlineLevel="0" collapsed="false">
      <c r="A6" s="1" t="s">
        <v>10</v>
      </c>
      <c r="B6" s="1" t="s">
        <v>250</v>
      </c>
      <c r="C6" s="1" t="n">
        <v>14</v>
      </c>
      <c r="F6" s="1" t="s">
        <v>251</v>
      </c>
      <c r="G6" s="28" t="n">
        <v>6</v>
      </c>
    </row>
    <row r="7" customFormat="false" ht="14.25" hidden="false" customHeight="true" outlineLevel="0" collapsed="false">
      <c r="A7" s="1" t="s">
        <v>11</v>
      </c>
      <c r="B7" s="1" t="s">
        <v>252</v>
      </c>
      <c r="C7" s="1" t="n">
        <v>16</v>
      </c>
      <c r="F7" s="1" t="s">
        <v>253</v>
      </c>
      <c r="G7" s="28" t="n">
        <v>7</v>
      </c>
    </row>
    <row r="8" customFormat="false" ht="14.25" hidden="false" customHeight="true" outlineLevel="0" collapsed="false">
      <c r="A8" s="1" t="s">
        <v>12</v>
      </c>
      <c r="B8" s="1" t="s">
        <v>254</v>
      </c>
      <c r="C8" s="1" t="n">
        <v>15</v>
      </c>
      <c r="F8" s="1" t="s">
        <v>255</v>
      </c>
      <c r="G8" s="28" t="n">
        <v>8</v>
      </c>
    </row>
    <row r="9" customFormat="false" ht="14.25" hidden="false" customHeight="true" outlineLevel="0" collapsed="false">
      <c r="A9" s="1" t="s">
        <v>13</v>
      </c>
      <c r="B9" s="1" t="s">
        <v>256</v>
      </c>
      <c r="C9" s="1" t="n">
        <v>67</v>
      </c>
      <c r="F9" s="1" t="s">
        <v>257</v>
      </c>
      <c r="G9" s="28" t="n">
        <v>9</v>
      </c>
    </row>
    <row r="10" customFormat="false" ht="14.25" hidden="false" customHeight="true" outlineLevel="0" collapsed="false">
      <c r="A10" s="1" t="s">
        <v>14</v>
      </c>
      <c r="B10" s="1" t="s">
        <v>256</v>
      </c>
      <c r="C10" s="1" t="n">
        <v>67</v>
      </c>
      <c r="F10" s="1" t="s">
        <v>258</v>
      </c>
      <c r="G10" s="28" t="n">
        <v>10</v>
      </c>
    </row>
    <row r="11" customFormat="false" ht="14.25" hidden="false" customHeight="true" outlineLevel="0" collapsed="false">
      <c r="A11" s="1" t="s">
        <v>15</v>
      </c>
      <c r="B11" s="1" t="s">
        <v>259</v>
      </c>
      <c r="C11" s="1" t="n">
        <v>2</v>
      </c>
      <c r="F11" s="1" t="s">
        <v>260</v>
      </c>
      <c r="G11" s="28" t="n">
        <v>11</v>
      </c>
    </row>
    <row r="12" customFormat="false" ht="14.25" hidden="false" customHeight="true" outlineLevel="0" collapsed="false">
      <c r="A12" s="1" t="s">
        <v>16</v>
      </c>
      <c r="B12" s="1" t="s">
        <v>261</v>
      </c>
      <c r="C12" s="1" t="n">
        <v>61</v>
      </c>
      <c r="F12" s="1" t="s">
        <v>262</v>
      </c>
      <c r="G12" s="28" t="n">
        <v>12</v>
      </c>
    </row>
    <row r="13" customFormat="false" ht="14.25" hidden="false" customHeight="true" outlineLevel="0" collapsed="false">
      <c r="A13" s="1" t="s">
        <v>17</v>
      </c>
      <c r="B13" s="1" t="s">
        <v>263</v>
      </c>
      <c r="C13" s="1" t="n">
        <v>62</v>
      </c>
      <c r="F13" s="1" t="s">
        <v>264</v>
      </c>
      <c r="G13" s="28" t="n">
        <v>13</v>
      </c>
    </row>
    <row r="14" customFormat="false" ht="14.25" hidden="false" customHeight="true" outlineLevel="0" collapsed="false">
      <c r="A14" s="1" t="s">
        <v>18</v>
      </c>
      <c r="F14" s="1" t="s">
        <v>265</v>
      </c>
      <c r="G14" s="28" t="n">
        <v>14</v>
      </c>
    </row>
    <row r="15" customFormat="false" ht="14.25" hidden="false" customHeight="true" outlineLevel="0" collapsed="false">
      <c r="A15" s="1" t="s">
        <v>19</v>
      </c>
      <c r="B15" s="1" t="s">
        <v>266</v>
      </c>
      <c r="C15" s="1" t="n">
        <v>34</v>
      </c>
      <c r="F15" s="1" t="s">
        <v>267</v>
      </c>
      <c r="G15" s="28" t="n">
        <v>15</v>
      </c>
    </row>
    <row r="16" customFormat="false" ht="14.25" hidden="false" customHeight="true" outlineLevel="0" collapsed="false">
      <c r="A16" s="1" t="s">
        <v>20</v>
      </c>
      <c r="B16" s="1" t="s">
        <v>20</v>
      </c>
      <c r="F16" s="1" t="s">
        <v>268</v>
      </c>
      <c r="G16" s="28" t="n">
        <v>16</v>
      </c>
    </row>
    <row r="17" customFormat="false" ht="14.25" hidden="false" customHeight="true" outlineLevel="0" collapsed="false">
      <c r="A17" s="1" t="s">
        <v>21</v>
      </c>
      <c r="B17" s="1" t="s">
        <v>21</v>
      </c>
      <c r="F17" s="1" t="s">
        <v>269</v>
      </c>
      <c r="G17" s="28" t="n">
        <v>17</v>
      </c>
    </row>
    <row r="18" customFormat="false" ht="14.25" hidden="false" customHeight="true" outlineLevel="0" collapsed="false">
      <c r="A18" s="1" t="s">
        <v>22</v>
      </c>
      <c r="F18" s="1" t="s">
        <v>270</v>
      </c>
      <c r="G18" s="28" t="n">
        <v>18</v>
      </c>
    </row>
    <row r="19" customFormat="false" ht="14.25" hidden="false" customHeight="true" outlineLevel="0" collapsed="false">
      <c r="A19" s="1" t="s">
        <v>23</v>
      </c>
      <c r="F19" s="1" t="s">
        <v>271</v>
      </c>
      <c r="G19" s="28" t="n">
        <v>19</v>
      </c>
    </row>
    <row r="20" customFormat="false" ht="14.25" hidden="false" customHeight="true" outlineLevel="0" collapsed="false">
      <c r="A20" s="1" t="s">
        <v>24</v>
      </c>
      <c r="B20" s="1" t="s">
        <v>272</v>
      </c>
      <c r="C20" s="1" t="n">
        <v>63</v>
      </c>
      <c r="F20" s="1" t="s">
        <v>273</v>
      </c>
      <c r="G20" s="28" t="n">
        <v>20</v>
      </c>
    </row>
    <row r="21" customFormat="false" ht="14.25" hidden="false" customHeight="true" outlineLevel="0" collapsed="false">
      <c r="A21" s="1" t="s">
        <v>25</v>
      </c>
      <c r="B21" s="1" t="s">
        <v>274</v>
      </c>
      <c r="C21" s="1" t="n">
        <v>66</v>
      </c>
      <c r="F21" s="1" t="s">
        <v>275</v>
      </c>
      <c r="G21" s="28" t="n">
        <v>21</v>
      </c>
    </row>
    <row r="22" customFormat="false" ht="14.25" hidden="false" customHeight="true" outlineLevel="0" collapsed="false">
      <c r="A22" s="1" t="s">
        <v>27</v>
      </c>
      <c r="B22" s="1" t="s">
        <v>276</v>
      </c>
      <c r="C22" s="1" t="n">
        <v>65</v>
      </c>
      <c r="F22" s="1" t="s">
        <v>277</v>
      </c>
      <c r="G22" s="28" t="n">
        <v>22</v>
      </c>
    </row>
    <row r="23" customFormat="false" ht="14.25" hidden="false" customHeight="true" outlineLevel="0" collapsed="false">
      <c r="A23" s="1" t="s">
        <v>28</v>
      </c>
      <c r="F23" s="1" t="s">
        <v>278</v>
      </c>
      <c r="G23" s="28" t="n">
        <v>23</v>
      </c>
    </row>
    <row r="24" customFormat="false" ht="14.25" hidden="false" customHeight="true" outlineLevel="0" collapsed="false">
      <c r="A24" s="1" t="s">
        <v>29</v>
      </c>
      <c r="F24" s="1" t="s">
        <v>279</v>
      </c>
      <c r="G24" s="28" t="n">
        <v>24</v>
      </c>
    </row>
    <row r="25" customFormat="false" ht="14.25" hidden="false" customHeight="true" outlineLevel="0" collapsed="false">
      <c r="A25" s="1" t="s">
        <v>30</v>
      </c>
      <c r="B25" s="1" t="s">
        <v>280</v>
      </c>
      <c r="C25" s="1" t="n">
        <v>71</v>
      </c>
      <c r="F25" s="1" t="s">
        <v>281</v>
      </c>
      <c r="G25" s="28" t="n">
        <v>25</v>
      </c>
    </row>
    <row r="26" customFormat="false" ht="14.25" hidden="false" customHeight="true" outlineLevel="0" collapsed="false">
      <c r="A26" s="1" t="s">
        <v>31</v>
      </c>
      <c r="B26" s="1" t="s">
        <v>282</v>
      </c>
      <c r="F26" s="1" t="s">
        <v>283</v>
      </c>
      <c r="G26" s="28" t="n">
        <v>26</v>
      </c>
    </row>
    <row r="27" customFormat="false" ht="14.25" hidden="false" customHeight="true" outlineLevel="0" collapsed="false">
      <c r="A27" s="1" t="s">
        <v>32</v>
      </c>
      <c r="B27" s="1" t="s">
        <v>284</v>
      </c>
      <c r="F27" s="1" t="s">
        <v>285</v>
      </c>
      <c r="G27" s="28" t="n">
        <v>27</v>
      </c>
    </row>
    <row r="28" customFormat="false" ht="14.25" hidden="false" customHeight="true" outlineLevel="0" collapsed="false">
      <c r="A28" s="1" t="s">
        <v>33</v>
      </c>
      <c r="F28" s="1" t="s">
        <v>286</v>
      </c>
      <c r="G28" s="28" t="n">
        <v>28</v>
      </c>
    </row>
    <row r="29" customFormat="false" ht="14.25" hidden="false" customHeight="true" outlineLevel="0" collapsed="false">
      <c r="A29" s="1" t="s">
        <v>34</v>
      </c>
      <c r="F29" s="1" t="s">
        <v>287</v>
      </c>
      <c r="G29" s="28" t="n">
        <v>29</v>
      </c>
    </row>
    <row r="30" customFormat="false" ht="14.25" hidden="false" customHeight="true" outlineLevel="0" collapsed="false">
      <c r="A30" s="1" t="s">
        <v>35</v>
      </c>
      <c r="B30" s="1" t="s">
        <v>288</v>
      </c>
      <c r="F30" s="1" t="s">
        <v>289</v>
      </c>
      <c r="G30" s="28" t="n">
        <v>30</v>
      </c>
    </row>
    <row r="31" customFormat="false" ht="14.25" hidden="false" customHeight="true" outlineLevel="0" collapsed="false">
      <c r="A31" s="1" t="s">
        <v>36</v>
      </c>
      <c r="B31" s="1" t="s">
        <v>290</v>
      </c>
      <c r="F31" s="1" t="s">
        <v>291</v>
      </c>
      <c r="G31" s="28" t="n">
        <v>31</v>
      </c>
    </row>
    <row r="32" customFormat="false" ht="14.25" hidden="false" customHeight="true" outlineLevel="0" collapsed="false">
      <c r="A32" s="1" t="s">
        <v>37</v>
      </c>
      <c r="B32" s="1" t="s">
        <v>292</v>
      </c>
      <c r="C32" s="1" t="n">
        <v>76</v>
      </c>
      <c r="F32" s="1" t="s">
        <v>293</v>
      </c>
      <c r="G32" s="28" t="n">
        <v>32</v>
      </c>
    </row>
    <row r="33" customFormat="false" ht="14.25" hidden="false" customHeight="true" outlineLevel="0" collapsed="false">
      <c r="A33" s="1" t="s">
        <v>38</v>
      </c>
      <c r="B33" s="1" t="s">
        <v>256</v>
      </c>
      <c r="C33" s="1" t="n">
        <v>67</v>
      </c>
      <c r="F33" s="1" t="s">
        <v>294</v>
      </c>
      <c r="G33" s="28" t="n">
        <v>33</v>
      </c>
    </row>
    <row r="34" customFormat="false" ht="14.25" hidden="false" customHeight="true" outlineLevel="0" collapsed="false">
      <c r="A34" s="1" t="s">
        <v>39</v>
      </c>
      <c r="B34" s="1" t="s">
        <v>295</v>
      </c>
      <c r="C34" s="1" t="n">
        <v>74</v>
      </c>
      <c r="F34" s="1" t="s">
        <v>296</v>
      </c>
      <c r="G34" s="28" t="n">
        <v>34</v>
      </c>
    </row>
    <row r="35" customFormat="false" ht="14.25" hidden="false" customHeight="true" outlineLevel="0" collapsed="false">
      <c r="A35" s="1" t="s">
        <v>40</v>
      </c>
      <c r="F35" s="1" t="s">
        <v>297</v>
      </c>
      <c r="G35" s="28" t="n">
        <v>35</v>
      </c>
    </row>
    <row r="36" customFormat="false" ht="14.25" hidden="false" customHeight="true" outlineLevel="0" collapsed="false">
      <c r="A36" s="1" t="s">
        <v>41</v>
      </c>
      <c r="F36" s="1" t="s">
        <v>298</v>
      </c>
      <c r="G36" s="28" t="n">
        <v>36</v>
      </c>
    </row>
    <row r="37" customFormat="false" ht="14.25" hidden="false" customHeight="true" outlineLevel="0" collapsed="false">
      <c r="A37" s="1" t="s">
        <v>42</v>
      </c>
      <c r="F37" s="1" t="s">
        <v>299</v>
      </c>
      <c r="G37" s="28" t="n">
        <v>37</v>
      </c>
    </row>
    <row r="38" customFormat="false" ht="14.25" hidden="false" customHeight="true" outlineLevel="0" collapsed="false">
      <c r="A38" s="1" t="s">
        <v>43</v>
      </c>
      <c r="B38" s="1" t="s">
        <v>300</v>
      </c>
      <c r="F38" s="1" t="s">
        <v>301</v>
      </c>
      <c r="G38" s="28" t="n">
        <v>38</v>
      </c>
    </row>
    <row r="39" customFormat="false" ht="14.25" hidden="false" customHeight="true" outlineLevel="0" collapsed="false">
      <c r="A39" s="1" t="s">
        <v>44</v>
      </c>
      <c r="B39" s="1" t="s">
        <v>302</v>
      </c>
      <c r="F39" s="1" t="s">
        <v>303</v>
      </c>
      <c r="G39" s="28" t="n">
        <v>39</v>
      </c>
    </row>
    <row r="40" customFormat="false" ht="14.25" hidden="false" customHeight="true" outlineLevel="0" collapsed="false">
      <c r="F40" s="1" t="s">
        <v>304</v>
      </c>
      <c r="G40" s="28" t="n">
        <v>40</v>
      </c>
    </row>
    <row r="41" customFormat="false" ht="14.25" hidden="false" customHeight="true" outlineLevel="0" collapsed="false">
      <c r="F41" s="1" t="s">
        <v>305</v>
      </c>
      <c r="G41" s="28" t="n">
        <v>41</v>
      </c>
    </row>
    <row r="42" customFormat="false" ht="14.25" hidden="false" customHeight="true" outlineLevel="0" collapsed="false">
      <c r="F42" s="1" t="s">
        <v>306</v>
      </c>
      <c r="G42" s="28" t="n">
        <v>42</v>
      </c>
    </row>
    <row r="43" customFormat="false" ht="14.25" hidden="false" customHeight="true" outlineLevel="0" collapsed="false">
      <c r="F43" s="1" t="s">
        <v>307</v>
      </c>
      <c r="G43" s="28" t="n">
        <v>43</v>
      </c>
    </row>
    <row r="44" customFormat="false" ht="14.25" hidden="false" customHeight="true" outlineLevel="0" collapsed="false">
      <c r="F44" s="1" t="s">
        <v>308</v>
      </c>
      <c r="G44" s="28" t="n">
        <v>44</v>
      </c>
    </row>
    <row r="45" customFormat="false" ht="14.25" hidden="false" customHeight="true" outlineLevel="0" collapsed="false">
      <c r="F45" s="1" t="s">
        <v>309</v>
      </c>
      <c r="G45" s="28" t="n">
        <v>45</v>
      </c>
    </row>
    <row r="46" customFormat="false" ht="14.25" hidden="false" customHeight="true" outlineLevel="0" collapsed="false">
      <c r="F46" s="1" t="s">
        <v>310</v>
      </c>
      <c r="G46" s="28" t="n">
        <v>46</v>
      </c>
    </row>
    <row r="47" customFormat="false" ht="14.25" hidden="false" customHeight="true" outlineLevel="0" collapsed="false">
      <c r="F47" s="1" t="s">
        <v>311</v>
      </c>
      <c r="G47" s="28" t="n">
        <v>47</v>
      </c>
    </row>
    <row r="48" customFormat="false" ht="14.25" hidden="false" customHeight="true" outlineLevel="0" collapsed="false">
      <c r="F48" s="1" t="s">
        <v>312</v>
      </c>
      <c r="G48" s="28" t="n">
        <v>48</v>
      </c>
    </row>
    <row r="49" customFormat="false" ht="14.25" hidden="false" customHeight="true" outlineLevel="0" collapsed="false">
      <c r="F49" s="1" t="s">
        <v>313</v>
      </c>
      <c r="G49" s="28" t="n">
        <v>49</v>
      </c>
    </row>
    <row r="50" customFormat="false" ht="14.25" hidden="false" customHeight="true" outlineLevel="0" collapsed="false">
      <c r="F50" s="1" t="s">
        <v>314</v>
      </c>
      <c r="G50" s="28" t="n">
        <v>50</v>
      </c>
    </row>
    <row r="51" customFormat="false" ht="14.25" hidden="false" customHeight="true" outlineLevel="0" collapsed="false">
      <c r="F51" s="1" t="s">
        <v>315</v>
      </c>
      <c r="G51" s="28" t="n">
        <v>51</v>
      </c>
    </row>
    <row r="52" customFormat="false" ht="14.25" hidden="false" customHeight="true" outlineLevel="0" collapsed="false">
      <c r="F52" s="1" t="s">
        <v>316</v>
      </c>
      <c r="G52" s="28" t="n">
        <v>52</v>
      </c>
    </row>
    <row r="53" customFormat="false" ht="14.25" hidden="false" customHeight="true" outlineLevel="0" collapsed="false">
      <c r="F53" s="1" t="s">
        <v>317</v>
      </c>
      <c r="G53" s="28" t="n">
        <v>53</v>
      </c>
    </row>
    <row r="54" customFormat="false" ht="14.25" hidden="false" customHeight="true" outlineLevel="0" collapsed="false">
      <c r="F54" s="1" t="s">
        <v>318</v>
      </c>
      <c r="G54" s="28" t="n">
        <v>54</v>
      </c>
    </row>
    <row r="55" customFormat="false" ht="14.25" hidden="false" customHeight="true" outlineLevel="0" collapsed="false">
      <c r="F55" s="1" t="s">
        <v>319</v>
      </c>
      <c r="G55" s="28" t="n">
        <v>55</v>
      </c>
    </row>
    <row r="56" customFormat="false" ht="14.25" hidden="false" customHeight="true" outlineLevel="0" collapsed="false">
      <c r="F56" s="1" t="s">
        <v>320</v>
      </c>
      <c r="G56" s="28" t="n">
        <v>56</v>
      </c>
    </row>
    <row r="57" customFormat="false" ht="14.25" hidden="false" customHeight="true" outlineLevel="0" collapsed="false">
      <c r="F57" s="1" t="s">
        <v>321</v>
      </c>
      <c r="G57" s="28" t="n">
        <v>57</v>
      </c>
    </row>
    <row r="58" customFormat="false" ht="14.25" hidden="false" customHeight="true" outlineLevel="0" collapsed="false">
      <c r="F58" s="1" t="s">
        <v>322</v>
      </c>
      <c r="G58" s="28" t="n">
        <v>58</v>
      </c>
    </row>
    <row r="59" customFormat="false" ht="14.25" hidden="false" customHeight="true" outlineLevel="0" collapsed="false">
      <c r="F59" s="1" t="s">
        <v>323</v>
      </c>
      <c r="G59" s="28" t="n">
        <v>59</v>
      </c>
    </row>
    <row r="60" customFormat="false" ht="14.25" hidden="false" customHeight="true" outlineLevel="0" collapsed="false">
      <c r="F60" s="1" t="s">
        <v>324</v>
      </c>
      <c r="G60" s="28" t="n">
        <v>60</v>
      </c>
    </row>
    <row r="61" customFormat="false" ht="14.25" hidden="false" customHeight="true" outlineLevel="0" collapsed="false">
      <c r="F61" s="1" t="s">
        <v>261</v>
      </c>
      <c r="G61" s="28" t="n">
        <v>61</v>
      </c>
    </row>
    <row r="62" customFormat="false" ht="14.25" hidden="false" customHeight="true" outlineLevel="0" collapsed="false">
      <c r="F62" s="1" t="s">
        <v>263</v>
      </c>
      <c r="G62" s="28" t="n">
        <v>62</v>
      </c>
    </row>
    <row r="63" customFormat="false" ht="14.25" hidden="false" customHeight="true" outlineLevel="0" collapsed="false">
      <c r="F63" s="1" t="s">
        <v>325</v>
      </c>
      <c r="G63" s="28" t="n">
        <v>63</v>
      </c>
    </row>
    <row r="64" customFormat="false" ht="14.25" hidden="false" customHeight="true" outlineLevel="0" collapsed="false">
      <c r="F64" s="1" t="s">
        <v>326</v>
      </c>
      <c r="G64" s="28" t="n">
        <v>64</v>
      </c>
    </row>
    <row r="65" customFormat="false" ht="14.25" hidden="false" customHeight="true" outlineLevel="0" collapsed="false">
      <c r="F65" s="1" t="s">
        <v>327</v>
      </c>
      <c r="G65" s="28" t="n">
        <v>65</v>
      </c>
    </row>
    <row r="66" customFormat="false" ht="14.25" hidden="false" customHeight="true" outlineLevel="0" collapsed="false">
      <c r="F66" s="1" t="s">
        <v>274</v>
      </c>
      <c r="G66" s="28" t="n">
        <v>66</v>
      </c>
    </row>
    <row r="67" customFormat="false" ht="14.25" hidden="false" customHeight="true" outlineLevel="0" collapsed="false">
      <c r="F67" s="1" t="s">
        <v>328</v>
      </c>
      <c r="G67" s="28" t="n">
        <v>67</v>
      </c>
    </row>
    <row r="68" customFormat="false" ht="14.25" hidden="false" customHeight="true" outlineLevel="0" collapsed="false">
      <c r="F68" s="1" t="s">
        <v>329</v>
      </c>
      <c r="G68" s="28" t="n">
        <v>68</v>
      </c>
    </row>
    <row r="69" customFormat="false" ht="14.25" hidden="false" customHeight="true" outlineLevel="0" collapsed="false">
      <c r="F69" s="1" t="s">
        <v>330</v>
      </c>
      <c r="G69" s="28" t="n">
        <v>69</v>
      </c>
    </row>
    <row r="70" customFormat="false" ht="14.25" hidden="false" customHeight="true" outlineLevel="0" collapsed="false">
      <c r="F70" s="1" t="s">
        <v>331</v>
      </c>
      <c r="G70" s="28" t="n">
        <v>70</v>
      </c>
    </row>
    <row r="71" customFormat="false" ht="14.25" hidden="false" customHeight="true" outlineLevel="0" collapsed="false">
      <c r="F71" s="1" t="s">
        <v>332</v>
      </c>
      <c r="G71" s="28" t="n">
        <v>71</v>
      </c>
    </row>
    <row r="72" customFormat="false" ht="14.25" hidden="false" customHeight="true" outlineLevel="0" collapsed="false">
      <c r="F72" s="1" t="s">
        <v>333</v>
      </c>
      <c r="G72" s="28" t="n">
        <v>72</v>
      </c>
    </row>
    <row r="73" customFormat="false" ht="14.25" hidden="false" customHeight="true" outlineLevel="0" collapsed="false">
      <c r="F73" s="1" t="s">
        <v>334</v>
      </c>
      <c r="G73" s="28" t="n">
        <v>73</v>
      </c>
    </row>
    <row r="74" customFormat="false" ht="14.25" hidden="false" customHeight="true" outlineLevel="0" collapsed="false">
      <c r="F74" s="1" t="s">
        <v>335</v>
      </c>
      <c r="G74" s="28" t="n">
        <v>74</v>
      </c>
    </row>
    <row r="75" customFormat="false" ht="14.25" hidden="false" customHeight="true" outlineLevel="0" collapsed="false">
      <c r="F75" s="1" t="s">
        <v>336</v>
      </c>
      <c r="G75" s="28" t="n">
        <v>75</v>
      </c>
    </row>
    <row r="76" customFormat="false" ht="14.25" hidden="false" customHeight="true" outlineLevel="0" collapsed="false">
      <c r="F76" s="1" t="s">
        <v>337</v>
      </c>
      <c r="G76" s="28" t="n">
        <v>76</v>
      </c>
    </row>
    <row r="77" customFormat="false" ht="14.25" hidden="false" customHeight="true" outlineLevel="0" collapsed="false">
      <c r="F77" s="1" t="s">
        <v>338</v>
      </c>
      <c r="G77" s="28" t="n">
        <v>77</v>
      </c>
    </row>
    <row r="78" customFormat="false" ht="14.25" hidden="false" customHeight="true" outlineLevel="0" collapsed="false">
      <c r="F78" s="1" t="s">
        <v>339</v>
      </c>
      <c r="G78" s="28" t="n">
        <v>78</v>
      </c>
    </row>
    <row r="79" customFormat="false" ht="14.25" hidden="false" customHeight="true" outlineLevel="0" collapsed="false">
      <c r="F79" s="1" t="s">
        <v>340</v>
      </c>
      <c r="G79" s="28" t="n">
        <v>79</v>
      </c>
    </row>
    <row r="80" customFormat="false" ht="14.25" hidden="false" customHeight="true" outlineLevel="0" collapsed="false">
      <c r="F80" s="1" t="s">
        <v>341</v>
      </c>
      <c r="G80" s="28" t="n">
        <v>80</v>
      </c>
    </row>
    <row r="81" customFormat="false" ht="14.25" hidden="false" customHeight="true" outlineLevel="0" collapsed="false">
      <c r="F81" s="1" t="s">
        <v>342</v>
      </c>
      <c r="G81" s="28" t="n">
        <v>81</v>
      </c>
    </row>
    <row r="82" customFormat="false" ht="14.25" hidden="false" customHeight="true" outlineLevel="0" collapsed="false">
      <c r="F82" s="1" t="s">
        <v>343</v>
      </c>
      <c r="G82" s="28" t="n">
        <v>82</v>
      </c>
    </row>
    <row r="83" customFormat="false" ht="14.25" hidden="false" customHeight="true" outlineLevel="0" collapsed="false">
      <c r="F83" s="1" t="s">
        <v>344</v>
      </c>
      <c r="G83" s="28" t="n">
        <v>83</v>
      </c>
    </row>
    <row r="84" customFormat="false" ht="14.25" hidden="false" customHeight="true" outlineLevel="0" collapsed="false">
      <c r="F84" s="1" t="s">
        <v>345</v>
      </c>
      <c r="G84" s="28" t="n">
        <v>84</v>
      </c>
    </row>
    <row r="85" customFormat="false" ht="14.25" hidden="false" customHeight="true" outlineLevel="0" collapsed="false">
      <c r="F85" s="1" t="s">
        <v>346</v>
      </c>
      <c r="G85" s="28" t="n">
        <v>85</v>
      </c>
    </row>
    <row r="86" customFormat="false" ht="14.25" hidden="false" customHeight="true" outlineLevel="0" collapsed="false">
      <c r="F86" s="1" t="s">
        <v>347</v>
      </c>
      <c r="G86" s="28" t="n">
        <v>86</v>
      </c>
    </row>
    <row r="87" customFormat="false" ht="14.25" hidden="false" customHeight="true" outlineLevel="0" collapsed="false">
      <c r="F87" s="1" t="s">
        <v>348</v>
      </c>
      <c r="G87" s="28" t="n">
        <v>87</v>
      </c>
    </row>
    <row r="88" customFormat="false" ht="14.25" hidden="false" customHeight="true" outlineLevel="0" collapsed="false">
      <c r="F88" s="1" t="s">
        <v>349</v>
      </c>
      <c r="G88" s="28" t="n">
        <v>88</v>
      </c>
    </row>
    <row r="89" customFormat="false" ht="14.25" hidden="false" customHeight="true" outlineLevel="0" collapsed="false">
      <c r="F89" s="1" t="s">
        <v>350</v>
      </c>
      <c r="G89" s="28" t="n">
        <v>89</v>
      </c>
    </row>
    <row r="90" customFormat="false" ht="14.25" hidden="false" customHeight="true" outlineLevel="0" collapsed="false">
      <c r="F90" s="1" t="s">
        <v>351</v>
      </c>
      <c r="G90" s="28" t="n">
        <v>90</v>
      </c>
    </row>
    <row r="91" customFormat="false" ht="14.25" hidden="false" customHeight="true" outlineLevel="0" collapsed="false">
      <c r="F91" s="1" t="s">
        <v>352</v>
      </c>
      <c r="G91" s="28" t="n">
        <v>91</v>
      </c>
    </row>
    <row r="92" customFormat="false" ht="14.25" hidden="false" customHeight="true" outlineLevel="0" collapsed="false">
      <c r="F92" s="1" t="s">
        <v>353</v>
      </c>
      <c r="G92" s="28" t="n">
        <v>92</v>
      </c>
    </row>
    <row r="93" customFormat="false" ht="14.25" hidden="false" customHeight="true" outlineLevel="0" collapsed="false">
      <c r="F93" s="1" t="s">
        <v>354</v>
      </c>
      <c r="G93" s="28" t="n">
        <v>93</v>
      </c>
    </row>
    <row r="94" customFormat="false" ht="14.25" hidden="false" customHeight="true" outlineLevel="0" collapsed="false">
      <c r="G94" s="28" t="n">
        <v>94</v>
      </c>
    </row>
    <row r="95" customFormat="false" ht="14.25" hidden="false" customHeight="true" outlineLevel="0" collapsed="false">
      <c r="G95" s="28" t="n">
        <v>95</v>
      </c>
    </row>
    <row r="96" customFormat="false" ht="14.25" hidden="false" customHeight="true" outlineLevel="0" collapsed="false">
      <c r="G96" s="28" t="n">
        <v>96</v>
      </c>
    </row>
    <row r="97" customFormat="false" ht="14.25" hidden="false" customHeight="true" outlineLevel="0" collapsed="false">
      <c r="G97" s="28" t="n">
        <v>97</v>
      </c>
    </row>
    <row r="98" customFormat="false" ht="14.25" hidden="false" customHeight="true" outlineLevel="0" collapsed="false">
      <c r="G98" s="28" t="n">
        <v>98</v>
      </c>
    </row>
    <row r="99" customFormat="false" ht="14.25" hidden="false" customHeight="true" outlineLevel="0" collapsed="false">
      <c r="G99" s="28" t="n">
        <v>99</v>
      </c>
    </row>
    <row r="100" customFormat="false" ht="14.25" hidden="false" customHeight="true" outlineLevel="0" collapsed="false">
      <c r="G100" s="28" t="n">
        <v>100</v>
      </c>
    </row>
    <row r="101" customFormat="false" ht="14.25" hidden="false" customHeight="true" outlineLevel="0" collapsed="false">
      <c r="G101" s="28" t="n">
        <v>101</v>
      </c>
    </row>
    <row r="102" customFormat="false" ht="14.25" hidden="false" customHeight="true" outlineLevel="0" collapsed="false">
      <c r="G102" s="28" t="n">
        <v>102</v>
      </c>
    </row>
    <row r="103" customFormat="false" ht="14.25" hidden="false" customHeight="true" outlineLevel="0" collapsed="false">
      <c r="G103" s="28" t="n">
        <v>103</v>
      </c>
    </row>
    <row r="104" customFormat="false" ht="14.25" hidden="false" customHeight="true" outlineLevel="0" collapsed="false">
      <c r="G104" s="28" t="n">
        <v>104</v>
      </c>
    </row>
    <row r="105" customFormat="false" ht="14.25" hidden="false" customHeight="true" outlineLevel="0" collapsed="false">
      <c r="G105" s="28" t="n">
        <v>105</v>
      </c>
    </row>
    <row r="106" customFormat="false" ht="14.25" hidden="false" customHeight="true" outlineLevel="0" collapsed="false">
      <c r="G106" s="28" t="n">
        <v>106</v>
      </c>
    </row>
    <row r="107" customFormat="false" ht="14.25" hidden="false" customHeight="true" outlineLevel="0" collapsed="false">
      <c r="G107" s="28" t="n">
        <v>107</v>
      </c>
    </row>
    <row r="108" customFormat="false" ht="14.25" hidden="false" customHeight="true" outlineLevel="0" collapsed="false">
      <c r="G108" s="28" t="n">
        <v>108</v>
      </c>
    </row>
    <row r="109" customFormat="false" ht="14.25" hidden="false" customHeight="true" outlineLevel="0" collapsed="false">
      <c r="G109" s="28" t="n">
        <v>109</v>
      </c>
    </row>
    <row r="111" customFormat="false" ht="14.25" hidden="false" customHeight="true" outlineLevel="0" collapsed="false">
      <c r="G111" s="28"/>
    </row>
    <row r="112" customFormat="false" ht="14.25" hidden="false" customHeight="true" outlineLevel="0" collapsed="false">
      <c r="G112" s="28"/>
    </row>
    <row r="113" customFormat="false" ht="14.25" hidden="false" customHeight="true" outlineLevel="0" collapsed="false">
      <c r="G113" s="28"/>
    </row>
    <row r="114" customFormat="false" ht="14.25" hidden="false" customHeight="true" outlineLevel="0" collapsed="false">
      <c r="G114" s="28"/>
    </row>
    <row r="115" customFormat="false" ht="14.25" hidden="false" customHeight="true" outlineLevel="0" collapsed="false">
      <c r="G115" s="28"/>
    </row>
    <row r="116" customFormat="false" ht="14.25" hidden="false" customHeight="true" outlineLevel="0" collapsed="false">
      <c r="G116" s="28"/>
    </row>
    <row r="117" customFormat="false" ht="14.25" hidden="false" customHeight="true" outlineLevel="0" collapsed="false">
      <c r="G117" s="28"/>
    </row>
    <row r="118" customFormat="false" ht="14.25" hidden="false" customHeight="true" outlineLevel="0" collapsed="false">
      <c r="G118" s="28"/>
    </row>
    <row r="119" customFormat="false" ht="14.25" hidden="false" customHeight="true" outlineLevel="0" collapsed="false">
      <c r="G119" s="28"/>
    </row>
    <row r="120" customFormat="false" ht="14.25" hidden="false" customHeight="true" outlineLevel="0" collapsed="false">
      <c r="G120" s="28"/>
    </row>
    <row r="121" customFormat="false" ht="14.25" hidden="false" customHeight="true" outlineLevel="0" collapsed="false">
      <c r="G121" s="28"/>
    </row>
    <row r="122" customFormat="false" ht="14.25" hidden="false" customHeight="true" outlineLevel="0" collapsed="false">
      <c r="G122" s="28"/>
    </row>
    <row r="123" customFormat="false" ht="14.25" hidden="false" customHeight="true" outlineLevel="0" collapsed="false">
      <c r="G123" s="28"/>
    </row>
    <row r="124" customFormat="false" ht="14.25" hidden="false" customHeight="true" outlineLevel="0" collapsed="false">
      <c r="G124" s="28"/>
    </row>
    <row r="125" customFormat="false" ht="14.25" hidden="false" customHeight="true" outlineLevel="0" collapsed="false">
      <c r="G125" s="28"/>
    </row>
    <row r="126" customFormat="false" ht="14.25" hidden="false" customHeight="true" outlineLevel="0" collapsed="false">
      <c r="G126" s="28"/>
    </row>
    <row r="127" customFormat="false" ht="14.25" hidden="false" customHeight="true" outlineLevel="0" collapsed="false">
      <c r="G127" s="28"/>
    </row>
  </sheetData>
  <autoFilter ref="F1:G117"/>
  <conditionalFormatting sqref="F1">
    <cfRule type="duplicateValues" priority="2" aboveAverage="0" equalAverage="0" bottom="0" percent="0" rank="0" text="" dxfId="4"/>
  </conditionalFormatting>
  <printOptions headings="false" gridLines="false" gridLinesSet="true" horizontalCentered="false" verticalCentered="false"/>
  <pageMargins left="0.7" right="0.7" top="0.75" bottom="0.75" header="0.511811023622047" footer="0.3"/>
  <pageSetup paperSize="9" scale="100" fitToWidth="1" fitToHeight="1" pageOrder="downThenOver" orientation="portrait" blackAndWhite="false" draft="false" cellComments="none" horizontalDpi="300" verticalDpi="300" copies="1"/>
  <headerFooter differentFirst="false" differentOddEven="false">
    <oddHeader/>
    <oddFooter>&amp;L&amp;10 _x005F_x000d_# Classification: Western Union Unrestricted Internal </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AA18"/>
  <sheetViews>
    <sheetView showFormulas="false" showGridLines="true" showRowColHeaders="true" showZeros="true" rightToLeft="false" tabSelected="false" showOutlineSymbols="true" defaultGridColor="true" view="normal" topLeftCell="D1" colorId="64" zoomScale="79" zoomScaleNormal="79" zoomScalePageLayoutView="100" workbookViewId="0">
      <selection pane="topLeft" activeCell="G6" activeCellId="0" sqref="G6"/>
    </sheetView>
  </sheetViews>
  <sheetFormatPr defaultColWidth="8.6796875" defaultRowHeight="14.25" zeroHeight="false" outlineLevelRow="0" outlineLevelCol="0"/>
  <cols>
    <col collapsed="false" customWidth="true" hidden="false" outlineLevel="0" max="1" min="1" style="1" width="22.09"/>
    <col collapsed="false" customWidth="true" hidden="false" outlineLevel="0" max="2" min="2" style="1" width="24.82"/>
    <col collapsed="false" customWidth="true" hidden="false" outlineLevel="0" max="3" min="3" style="1" width="22"/>
    <col collapsed="false" customWidth="true" hidden="false" outlineLevel="0" max="4" min="4" style="29" width="16"/>
    <col collapsed="false" customWidth="true" hidden="false" outlineLevel="0" max="5" min="5" style="30" width="19.82"/>
    <col collapsed="false" customWidth="true" hidden="false" outlineLevel="0" max="6" min="6" style="1" width="20.91"/>
    <col collapsed="false" customWidth="true" hidden="false" outlineLevel="0" max="7" min="7" style="1" width="31.91"/>
    <col collapsed="false" customWidth="true" hidden="false" outlineLevel="0" max="8" min="8" style="1" width="40.09"/>
    <col collapsed="false" customWidth="true" hidden="false" outlineLevel="0" max="9" min="9" style="1" width="16.63"/>
    <col collapsed="false" customWidth="true" hidden="false" outlineLevel="0" max="10" min="10" style="1" width="25.91"/>
    <col collapsed="false" customWidth="true" hidden="false" outlineLevel="0" max="11" min="11" style="1" width="17.09"/>
    <col collapsed="false" customWidth="true" hidden="false" outlineLevel="0" max="12" min="12" style="1" width="16.54"/>
    <col collapsed="false" customWidth="true" hidden="false" outlineLevel="0" max="13" min="13" style="1" width="16.82"/>
    <col collapsed="false" customWidth="true" hidden="false" outlineLevel="0" max="14" min="14" style="1" width="17.91"/>
    <col collapsed="false" customWidth="true" hidden="false" outlineLevel="0" max="15" min="15" style="1" width="21.36"/>
    <col collapsed="false" customWidth="true" hidden="false" outlineLevel="0" max="16" min="16" style="30" width="16.91"/>
    <col collapsed="false" customWidth="true" hidden="false" outlineLevel="0" max="17" min="17" style="30" width="17.09"/>
    <col collapsed="false" customWidth="true" hidden="false" outlineLevel="0" max="18" min="18" style="1" width="26.18"/>
    <col collapsed="false" customWidth="true" hidden="false" outlineLevel="0" max="19" min="19" style="1" width="114"/>
    <col collapsed="false" customWidth="true" hidden="false" outlineLevel="0" max="20" min="20" style="1" width="45.63"/>
    <col collapsed="false" customWidth="true" hidden="false" outlineLevel="0" max="21" min="21" style="1" width="12.63"/>
    <col collapsed="false" customWidth="true" hidden="false" outlineLevel="0" max="22" min="22" style="1" width="47.45"/>
    <col collapsed="false" customWidth="true" hidden="false" outlineLevel="0" max="23" min="23" style="1" width="53"/>
    <col collapsed="false" customWidth="true" hidden="false" outlineLevel="0" max="24" min="24" style="1" width="14.45"/>
    <col collapsed="false" customWidth="true" hidden="false" outlineLevel="0" max="25" min="25" style="1" width="23.45"/>
    <col collapsed="false" customWidth="true" hidden="false" outlineLevel="0" max="27" min="27" style="1" width="19.63"/>
  </cols>
  <sheetData>
    <row r="2" customFormat="false" ht="14.25" hidden="false" customHeight="true" outlineLevel="0" collapsed="false">
      <c r="F2" s="2" t="s">
        <v>355</v>
      </c>
      <c r="G2" s="2"/>
      <c r="H2" s="2"/>
    </row>
    <row r="3" customFormat="false" ht="14.25" hidden="false" customHeight="true" outlineLevel="0" collapsed="false">
      <c r="F3" s="2"/>
      <c r="G3" s="2"/>
      <c r="H3" s="2"/>
    </row>
    <row r="5" customFormat="false" ht="14.25" hidden="false" customHeight="true" outlineLevel="0" collapsed="false">
      <c r="A5" s="31" t="s">
        <v>1</v>
      </c>
      <c r="B5" s="32" t="s">
        <v>2</v>
      </c>
      <c r="C5" s="32" t="s">
        <v>3</v>
      </c>
      <c r="D5" s="33" t="s">
        <v>4</v>
      </c>
      <c r="E5" s="34" t="s">
        <v>5</v>
      </c>
      <c r="F5" s="35" t="s">
        <v>6</v>
      </c>
      <c r="G5" s="36" t="s">
        <v>7</v>
      </c>
      <c r="H5" s="37" t="s">
        <v>8</v>
      </c>
      <c r="I5" s="36" t="s">
        <v>9</v>
      </c>
      <c r="J5" s="36" t="s">
        <v>10</v>
      </c>
      <c r="K5" s="38" t="s">
        <v>11</v>
      </c>
      <c r="L5" s="38" t="s">
        <v>12</v>
      </c>
      <c r="M5" s="39" t="s">
        <v>356</v>
      </c>
      <c r="N5" s="40" t="s">
        <v>357</v>
      </c>
      <c r="O5" s="40" t="s">
        <v>358</v>
      </c>
      <c r="P5" s="34" t="s">
        <v>359</v>
      </c>
      <c r="Q5" s="34" t="s">
        <v>360</v>
      </c>
      <c r="R5" s="41" t="s">
        <v>361</v>
      </c>
      <c r="S5" s="42" t="s">
        <v>362</v>
      </c>
      <c r="T5" s="40" t="s">
        <v>363</v>
      </c>
      <c r="U5" s="40" t="s">
        <v>364</v>
      </c>
      <c r="V5" s="42" t="s">
        <v>365</v>
      </c>
      <c r="W5" s="42" t="s">
        <v>366</v>
      </c>
      <c r="X5" s="40" t="s">
        <v>13</v>
      </c>
      <c r="Y5" s="43" t="s">
        <v>14</v>
      </c>
      <c r="Z5" s="44" t="s">
        <v>45</v>
      </c>
    </row>
    <row r="6" customFormat="false" ht="14.25" hidden="false" customHeight="true" outlineLevel="0" collapsed="false">
      <c r="A6" s="13"/>
      <c r="B6" s="14" t="s">
        <v>367</v>
      </c>
      <c r="C6" s="14" t="s">
        <v>47</v>
      </c>
      <c r="D6" s="45" t="n">
        <v>12389275</v>
      </c>
      <c r="E6" s="17" t="str">
        <f aca="false">IFERROR(IF(VLOOKUP($D6,'Raw Data'!$B:$CQ,VLOOKUP('SWB CaseList'!E$5,'SWB-Lists'!$A:$C,3,0),0)=0,"NA",VLOOKUP($D6,'Raw Data'!$B:$CQ,VLOOKUP('SWB CaseList'!E$5,'SWB-Lists'!$A:$C,3,0),0)),"NA")</f>
        <v>NA</v>
      </c>
      <c r="F6" s="46" t="s">
        <v>48</v>
      </c>
      <c r="G6" s="16" t="str">
        <f aca="false">IFERROR(IF(VLOOKUP($D6,'Raw Data'!$B:$CQ,VLOOKUP('SWB CaseList'!G$5,'SWB-Lists'!$A:$C,3,0),0)=0,"NA",VLOOKUP($D6,'Raw Data'!$B:$CQ,VLOOKUP('SWB CaseList'!G$5,'SWB-Lists'!$A:$C,3,0),0)),"NA")</f>
        <v>NA</v>
      </c>
      <c r="H6" s="16" t="str">
        <f aca="false">IFERROR(IF(VLOOKUP($D6,'Raw Data'!$B:$CQ,VLOOKUP('SWB CaseList'!H$5,'SWB-Lists'!$A:$C,3,0),0)=0,"NA",VLOOKUP($D6,'Raw Data'!$B:$CQ,VLOOKUP('SWB CaseList'!H$5,'SWB-Lists'!$A:$C,3,0),0)),"NA")</f>
        <v>NA</v>
      </c>
      <c r="I6" s="16" t="str">
        <f aca="false">IFERROR(IF(VLOOKUP($D6,'Raw Data'!$B:$CQ,VLOOKUP('SWB CaseList'!I$5,'SWB-Lists'!$A:$C,3,0),0)=0,"NA",VLOOKUP($D6,'Raw Data'!$B:$CQ,VLOOKUP('SWB CaseList'!I$5,'SWB-Lists'!$A:$C,3,0),0)),"NA")</f>
        <v>NA</v>
      </c>
      <c r="J6" s="16" t="str">
        <f aca="false">IFERROR(IF(VLOOKUP($D6,'Raw Data'!$B:$CQ,VLOOKUP('SWB CaseList'!J$5,'SWB-Lists'!$A:$C,3,0),0)=0,"NA",VLOOKUP($D6,'Raw Data'!$B:$CQ,VLOOKUP('SWB CaseList'!J$5,'SWB-Lists'!$A:$C,3,0),0)),"NA")</f>
        <v>NA</v>
      </c>
      <c r="K6" s="16" t="str">
        <f aca="false">IFERROR(IF(VLOOKUP($D6,'Raw Data'!$B:$CQ,VLOOKUP('SWB CaseList'!K$5,'SWB-Lists'!$A:$C,3,0),0)=0,"NA",VLOOKUP($D6,'Raw Data'!$B:$CQ,VLOOKUP('SWB CaseList'!K$5,'SWB-Lists'!$A:$C,3,0),0)),"NA")</f>
        <v>NA</v>
      </c>
      <c r="L6" s="16" t="str">
        <f aca="false">IFERROR(IF(VLOOKUP($D6,'Raw Data'!$B:$CQ,VLOOKUP('SWB CaseList'!L$5,'SWB-Lists'!$A:$C,3,0),0)=0,"NA",VLOOKUP($D6,'Raw Data'!$B:$CQ,VLOOKUP('SWB CaseList'!L$5,'SWB-Lists'!$A:$C,3,0),0)),"NA")</f>
        <v>NA</v>
      </c>
      <c r="M6" s="16" t="str">
        <f aca="false">IFERROR(IF(VLOOKUP($D6,'Raw Data'!$B:$CQ,VLOOKUP('SWB CaseList'!M$5,'SWB-Lists'!$A:$C,3,0),0)=0,"NA",VLOOKUP($D6,'Raw Data'!$B:$CQ,VLOOKUP('SWB CaseList'!M$5,'SWB-Lists'!$A:$C,3,0),0)),"NA")</f>
        <v>NA</v>
      </c>
      <c r="N6" s="47" t="str">
        <f aca="false">IFERROR(IF(VLOOKUP($D6,'Raw Data'!$B:$CQ,VLOOKUP('SWB CaseList'!N$5,'SWB-Lists'!$A:$C,3,0),0)=0,"NA",VLOOKUP($D6,'Raw Data'!$B:$CQ,VLOOKUP('SWB CaseList'!N$5,'SWB-Lists'!$A:$C,3,0),0)),"NA")</f>
        <v>NA</v>
      </c>
      <c r="O6" s="48" t="str">
        <f aca="false">IFERROR(IF(VLOOKUP($D6,'Raw Data'!$B:$CQ,VLOOKUP('SWB CaseList'!O$5,'SWB-Lists'!$A:$C,3,0),0)=0,"NA",VLOOKUP($D6,'Raw Data'!$B:$CQ,VLOOKUP('SWB CaseList'!O$5,'SWB-Lists'!$A:$C,3,0),0)),"NA")</f>
        <v>NA</v>
      </c>
      <c r="P6" s="49" t="str">
        <f aca="false">IFERROR(IF(VLOOKUP($D6,'Raw Data'!$B:$CQ,VLOOKUP('SWB CaseList'!P$5,'SWB-Lists'!$A:$C,3,0),0)=0,"NA",VLOOKUP($D6,'Raw Data'!$B:$CQ,VLOOKUP('SWB CaseList'!P$5,'SWB-Lists'!$A:$C,3,0),0)),"NA")</f>
        <v>NA</v>
      </c>
      <c r="Q6" s="16" t="str">
        <f aca="false">IFERROR(IF(VLOOKUP($D6,'Raw Data'!$B:$CQ,VLOOKUP('SWB CaseList'!Q$5,'SWB-Lists'!$A:$C,3,0),0)=0,"NA",VLOOKUP($D6,'Raw Data'!$B:$CQ,VLOOKUP('SWB CaseList'!Q$5,'SWB-Lists'!$A:$C,3,0),0)),"NA")</f>
        <v>NA</v>
      </c>
      <c r="R6" s="16" t="str">
        <f aca="false">IFERROR(IF(VLOOKUP($D6,'Raw Data'!$B:$CQ,VLOOKUP('SWB CaseList'!R$5,'SWB-Lists'!$A:$C,3,0),0)=0,"NA",VLOOKUP($D6,'Raw Data'!$B:$CQ,VLOOKUP('SWB CaseList'!R$5,'SWB-Lists'!$A:$C,3,0),0)),"NA")</f>
        <v>NA</v>
      </c>
      <c r="S6" s="16" t="str">
        <f aca="false">IFERROR(IF(VLOOKUP($D6,'Raw Data'!$B:$CQ,VLOOKUP('SWB CaseList'!S$5,'SWB-Lists'!$A:$C,3,0),0)=0,"NA",VLOOKUP($D6,'Raw Data'!$B:$CQ,VLOOKUP('SWB CaseList'!S$5,'SWB-Lists'!$A:$C,3,0),0)),"NA")</f>
        <v>NA</v>
      </c>
      <c r="T6" s="16" t="str">
        <f aca="false">IFERROR(IF(VLOOKUP($D6,'Raw Data'!$B:$CQ,VLOOKUP('SWB CaseList'!T$5,'SWB-Lists'!$A:$C,3,0),0)=0,"NA",VLOOKUP($D6,'Raw Data'!$B:$CQ,VLOOKUP('SWB CaseList'!T$5,'SWB-Lists'!$A:$C,3,0),0)),"NA")</f>
        <v>NA</v>
      </c>
      <c r="U6" s="16" t="str">
        <f aca="false">IFERROR(IF(VLOOKUP($D6,'Raw Data'!$B:$CQ,VLOOKUP('SWB CaseList'!U$5,'SWB-Lists'!$A:$C,3,0),0)=0,"NA",VLOOKUP($D6,'Raw Data'!$B:$CQ,VLOOKUP('SWB CaseList'!U$5,'SWB-Lists'!$A:$C,3,0),0)),"NA")</f>
        <v>NA</v>
      </c>
      <c r="V6" s="16" t="str">
        <f aca="false">IFERROR(IF(VLOOKUP($D6,'Raw Data'!$B:$CQ,VLOOKUP('SWB CaseList'!V$5,'SWB-Lists'!$A:$C,3,0),0)=0,"NA",VLOOKUP($D6,'Raw Data'!$B:$CQ,VLOOKUP('SWB CaseList'!V$5,'SWB-Lists'!$A:$C,3,0),0)),"NA")</f>
        <v>NA</v>
      </c>
      <c r="W6" s="16" t="str">
        <f aca="false">IFERROR(IF(VLOOKUP($D6,'Raw Data'!$B:$CQ,VLOOKUP('SWB CaseList'!W$5,'SWB-Lists'!$A:$C,3,0),0)=0,"NA",VLOOKUP($D6,'Raw Data'!$B:$CQ,VLOOKUP('SWB CaseList'!W$5,'SWB-Lists'!$A:$C,3,0),0)),"NA")</f>
        <v>NA</v>
      </c>
      <c r="X6" s="16" t="str">
        <f aca="false">IFERROR(IF(VLOOKUP($D6,'Raw Data'!$B:$CQ,VLOOKUP('SWB CaseList'!X$5,'SWB-Lists'!$A:$C,3,0),0)=0,"NA",VLOOKUP($D6,'Raw Data'!$B:$CQ,VLOOKUP('SWB CaseList'!X$5,'SWB-Lists'!$A:$C,3,0),0)),"NA")</f>
        <v>NA</v>
      </c>
      <c r="Y6" s="16" t="str">
        <f aca="false">IFERROR(IF(VLOOKUP($D6,'Raw Data'!$B:$CQ,VLOOKUP('SWB CaseList'!Y$5,'SWB-Lists'!$A:$C,3,0),0)=0,"NA",VLOOKUP($D6,'Raw Data'!$B:$CQ,VLOOKUP('SWB CaseList'!Y$5,'SWB-Lists'!$A:$C,3,0),0)),"NA")</f>
        <v>NA</v>
      </c>
      <c r="Z6" s="1" t="str">
        <f aca="false">IF($D6="","",IF(OR($J6="",$J6="NA"),"Sin datos",IF(OR(ISNUMBER(SEARCH("Chihuahua",$J6)),ISNUMBER(SEARCH("Coahuila",$J6)),ISNUMBER(SEARCH("Baja California Norte",$J6)),ISNUMBER(SEARCH("Nuevo Leon",$J6)),ISNUMBER(SEARCH("Nuevo León",$J6)),ISNUMBER(SEARCH("Tamaulipas",$J6)),ISNUMBER(SEARCH("Sonora",$J6))),"OK - Frontera","Revisar: State no es Frontera")))</f>
        <v>Sin datos</v>
      </c>
      <c r="AA6" s="19" t="n">
        <v>10000001526469</v>
      </c>
    </row>
    <row r="7" customFormat="false" ht="14.25" hidden="false" customHeight="true" outlineLevel="0" collapsed="false">
      <c r="A7" s="13"/>
      <c r="B7" s="14" t="s">
        <v>367</v>
      </c>
      <c r="C7" s="14" t="s">
        <v>47</v>
      </c>
      <c r="D7" s="45" t="n">
        <v>12389278</v>
      </c>
      <c r="E7" s="17" t="str">
        <f aca="false">IFERROR(IF(VLOOKUP($D7,'Raw Data'!$B:$CQ,VLOOKUP('SWB CaseList'!E$5,'SWB-Lists'!$A:$C,3,0),0)=0,"NA",VLOOKUP($D7,'Raw Data'!$B:$CQ,VLOOKUP('SWB CaseList'!E$5,'SWB-Lists'!$A:$C,3,0),0)),"NA")</f>
        <v>NA</v>
      </c>
      <c r="F7" s="46" t="s">
        <v>48</v>
      </c>
      <c r="G7" s="16" t="str">
        <f aca="false">IFERROR(IF(VLOOKUP($D7,'Raw Data'!$B:$CQ,VLOOKUP('SWB CaseList'!G$5,'SWB-Lists'!$A:$C,3,0),0)=0,"NA",VLOOKUP($D7,'Raw Data'!$B:$CQ,VLOOKUP('SWB CaseList'!G$5,'SWB-Lists'!$A:$C,3,0),0)),"NA")</f>
        <v>NA</v>
      </c>
      <c r="H7" s="16" t="str">
        <f aca="false">IFERROR(IF(VLOOKUP($D7,'Raw Data'!$B:$CQ,VLOOKUP('SWB CaseList'!H$5,'SWB-Lists'!$A:$C,3,0),0)=0,"NA",VLOOKUP($D7,'Raw Data'!$B:$CQ,VLOOKUP('SWB CaseList'!H$5,'SWB-Lists'!$A:$C,3,0),0)),"NA")</f>
        <v>NA</v>
      </c>
      <c r="I7" s="16" t="str">
        <f aca="false">IFERROR(IF(VLOOKUP($D7,'Raw Data'!$B:$CQ,VLOOKUP('SWB CaseList'!I$5,'SWB-Lists'!$A:$C,3,0),0)=0,"NA",VLOOKUP($D7,'Raw Data'!$B:$CQ,VLOOKUP('SWB CaseList'!I$5,'SWB-Lists'!$A:$C,3,0),0)),"NA")</f>
        <v>NA</v>
      </c>
      <c r="J7" s="16" t="str">
        <f aca="false">IFERROR(IF(VLOOKUP($D7,'Raw Data'!$B:$CQ,VLOOKUP('SWB CaseList'!J$5,'SWB-Lists'!$A:$C,3,0),0)=0,"NA",VLOOKUP($D7,'Raw Data'!$B:$CQ,VLOOKUP('SWB CaseList'!J$5,'SWB-Lists'!$A:$C,3,0),0)),"NA")</f>
        <v>NA</v>
      </c>
      <c r="K7" s="16" t="str">
        <f aca="false">IFERROR(IF(VLOOKUP($D7,'Raw Data'!$B:$CQ,VLOOKUP('SWB CaseList'!K$5,'SWB-Lists'!$A:$C,3,0),0)=0,"NA",VLOOKUP($D7,'Raw Data'!$B:$CQ,VLOOKUP('SWB CaseList'!K$5,'SWB-Lists'!$A:$C,3,0),0)),"NA")</f>
        <v>NA</v>
      </c>
      <c r="L7" s="16" t="str">
        <f aca="false">IFERROR(IF(VLOOKUP($D7,'Raw Data'!$B:$CQ,VLOOKUP('SWB CaseList'!L$5,'SWB-Lists'!$A:$C,3,0),0)=0,"NA",VLOOKUP($D7,'Raw Data'!$B:$CQ,VLOOKUP('SWB CaseList'!L$5,'SWB-Lists'!$A:$C,3,0),0)),"NA")</f>
        <v>NA</v>
      </c>
      <c r="M7" s="16" t="str">
        <f aca="false">IFERROR(IF(VLOOKUP($D7,'Raw Data'!$B:$CQ,VLOOKUP('SWB CaseList'!M$5,'SWB-Lists'!$A:$C,3,0),0)=0,"NA",VLOOKUP($D7,'Raw Data'!$B:$CQ,VLOOKUP('SWB CaseList'!M$5,'SWB-Lists'!$A:$C,3,0),0)),"NA")</f>
        <v>NA</v>
      </c>
      <c r="N7" s="47" t="str">
        <f aca="false">IFERROR(IF(VLOOKUP($D7,'Raw Data'!$B:$CQ,VLOOKUP('SWB CaseList'!N$5,'SWB-Lists'!$A:$C,3,0),0)=0,"NA",VLOOKUP($D7,'Raw Data'!$B:$CQ,VLOOKUP('SWB CaseList'!N$5,'SWB-Lists'!$A:$C,3,0),0)),"NA")</f>
        <v>NA</v>
      </c>
      <c r="O7" s="48" t="str">
        <f aca="false">IFERROR(IF(VLOOKUP($D7,'Raw Data'!$B:$CQ,VLOOKUP('SWB CaseList'!O$5,'SWB-Lists'!$A:$C,3,0),0)=0,"NA",VLOOKUP($D7,'Raw Data'!$B:$CQ,VLOOKUP('SWB CaseList'!O$5,'SWB-Lists'!$A:$C,3,0),0)),"NA")</f>
        <v>NA</v>
      </c>
      <c r="P7" s="49" t="str">
        <f aca="false">IFERROR(IF(VLOOKUP($D7,'Raw Data'!$B:$CQ,VLOOKUP('SWB CaseList'!P$5,'SWB-Lists'!$A:$C,3,0),0)=0,"NA",VLOOKUP($D7,'Raw Data'!$B:$CQ,VLOOKUP('SWB CaseList'!P$5,'SWB-Lists'!$A:$C,3,0),0)),"NA")</f>
        <v>NA</v>
      </c>
      <c r="Q7" s="16" t="str">
        <f aca="false">IFERROR(IF(VLOOKUP($D7,'Raw Data'!$B:$CQ,VLOOKUP('SWB CaseList'!Q$5,'SWB-Lists'!$A:$C,3,0),0)=0,"NA",VLOOKUP($D7,'Raw Data'!$B:$CQ,VLOOKUP('SWB CaseList'!Q$5,'SWB-Lists'!$A:$C,3,0),0)),"NA")</f>
        <v>NA</v>
      </c>
      <c r="R7" s="16" t="str">
        <f aca="false">IFERROR(IF(VLOOKUP($D7,'Raw Data'!$B:$CQ,VLOOKUP('SWB CaseList'!R$5,'SWB-Lists'!$A:$C,3,0),0)=0,"NA",VLOOKUP($D7,'Raw Data'!$B:$CQ,VLOOKUP('SWB CaseList'!R$5,'SWB-Lists'!$A:$C,3,0),0)),"NA")</f>
        <v>NA</v>
      </c>
      <c r="S7" s="16" t="str">
        <f aca="false">IFERROR(IF(VLOOKUP($D7,'Raw Data'!$B:$CQ,VLOOKUP('SWB CaseList'!S$5,'SWB-Lists'!$A:$C,3,0),0)=0,"NA",VLOOKUP($D7,'Raw Data'!$B:$CQ,VLOOKUP('SWB CaseList'!S$5,'SWB-Lists'!$A:$C,3,0),0)),"NA")</f>
        <v>NA</v>
      </c>
      <c r="T7" s="16" t="str">
        <f aca="false">IFERROR(IF(VLOOKUP($D7,'Raw Data'!$B:$CQ,VLOOKUP('SWB CaseList'!T$5,'SWB-Lists'!$A:$C,3,0),0)=0,"NA",VLOOKUP($D7,'Raw Data'!$B:$CQ,VLOOKUP('SWB CaseList'!T$5,'SWB-Lists'!$A:$C,3,0),0)),"NA")</f>
        <v>NA</v>
      </c>
      <c r="U7" s="16" t="str">
        <f aca="false">IFERROR(IF(VLOOKUP($D7,'Raw Data'!$B:$CQ,VLOOKUP('SWB CaseList'!U$5,'SWB-Lists'!$A:$C,3,0),0)=0,"NA",VLOOKUP($D7,'Raw Data'!$B:$CQ,VLOOKUP('SWB CaseList'!U$5,'SWB-Lists'!$A:$C,3,0),0)),"NA")</f>
        <v>NA</v>
      </c>
      <c r="V7" s="16" t="str">
        <f aca="false">IFERROR(IF(VLOOKUP($D7,'Raw Data'!$B:$CQ,VLOOKUP('SWB CaseList'!V$5,'SWB-Lists'!$A:$C,3,0),0)=0,"NA",VLOOKUP($D7,'Raw Data'!$B:$CQ,VLOOKUP('SWB CaseList'!V$5,'SWB-Lists'!$A:$C,3,0),0)),"NA")</f>
        <v>NA</v>
      </c>
      <c r="W7" s="16" t="str">
        <f aca="false">IFERROR(IF(VLOOKUP($D7,'Raw Data'!$B:$CQ,VLOOKUP('SWB CaseList'!W$5,'SWB-Lists'!$A:$C,3,0),0)=0,"NA",VLOOKUP($D7,'Raw Data'!$B:$CQ,VLOOKUP('SWB CaseList'!W$5,'SWB-Lists'!$A:$C,3,0),0)),"NA")</f>
        <v>NA</v>
      </c>
      <c r="X7" s="16" t="str">
        <f aca="false">IFERROR(IF(VLOOKUP($D7,'Raw Data'!$B:$CQ,VLOOKUP('SWB CaseList'!X$5,'SWB-Lists'!$A:$C,3,0),0)=0,"NA",VLOOKUP($D7,'Raw Data'!$B:$CQ,VLOOKUP('SWB CaseList'!X$5,'SWB-Lists'!$A:$C,3,0),0)),"NA")</f>
        <v>NA</v>
      </c>
      <c r="Y7" s="16" t="str">
        <f aca="false">IFERROR(IF(VLOOKUP($D7,'Raw Data'!$B:$CQ,VLOOKUP('SWB CaseList'!Y$5,'SWB-Lists'!$A:$C,3,0),0)=0,"NA",VLOOKUP($D7,'Raw Data'!$B:$CQ,VLOOKUP('SWB CaseList'!Y$5,'SWB-Lists'!$A:$C,3,0),0)),"NA")</f>
        <v>NA</v>
      </c>
      <c r="Z7" s="1" t="str">
        <f aca="false">IF($D7="","",IF(OR($J7="",$J7="NA"),"Sin datos",IF(OR(ISNUMBER(SEARCH("Chihuahua",$J7)),ISNUMBER(SEARCH("Coahuila",$J7)),ISNUMBER(SEARCH("Baja California Norte",$J7)),ISNUMBER(SEARCH("Nuevo Leon",$J7)),ISNUMBER(SEARCH("Nuevo León",$J7)),ISNUMBER(SEARCH("Tamaulipas",$J7)),ISNUMBER(SEARCH("Sonora",$J7))),"OK - Frontera","Revisar: State no es Frontera")))</f>
        <v>Sin datos</v>
      </c>
      <c r="AA7" s="19" t="n">
        <v>10000000621030</v>
      </c>
    </row>
    <row r="8" customFormat="false" ht="14.25" hidden="false" customHeight="true" outlineLevel="0" collapsed="false">
      <c r="A8" s="13"/>
      <c r="B8" s="14" t="s">
        <v>367</v>
      </c>
      <c r="C8" s="14" t="s">
        <v>47</v>
      </c>
      <c r="D8" s="45" t="n">
        <v>12389274</v>
      </c>
      <c r="E8" s="17" t="str">
        <f aca="false">IFERROR(IF(VLOOKUP($D8,'Raw Data'!$B:$CQ,VLOOKUP('SWB CaseList'!E$5,'SWB-Lists'!$A:$C,3,0),0)=0,"NA",VLOOKUP($D8,'Raw Data'!$B:$CQ,VLOOKUP('SWB CaseList'!E$5,'SWB-Lists'!$A:$C,3,0),0)),"NA")</f>
        <v>NA</v>
      </c>
      <c r="F8" s="46" t="s">
        <v>48</v>
      </c>
      <c r="G8" s="16" t="str">
        <f aca="false">IFERROR(IF(VLOOKUP($D8,'Raw Data'!$B:$CQ,VLOOKUP('SWB CaseList'!G$5,'SWB-Lists'!$A:$C,3,0),0)=0,"NA",VLOOKUP($D8,'Raw Data'!$B:$CQ,VLOOKUP('SWB CaseList'!G$5,'SWB-Lists'!$A:$C,3,0),0)),"NA")</f>
        <v>NA</v>
      </c>
      <c r="H8" s="16" t="str">
        <f aca="false">IFERROR(IF(VLOOKUP($D8,'Raw Data'!$B:$CQ,VLOOKUP('SWB CaseList'!H$5,'SWB-Lists'!$A:$C,3,0),0)=0,"NA",VLOOKUP($D8,'Raw Data'!$B:$CQ,VLOOKUP('SWB CaseList'!H$5,'SWB-Lists'!$A:$C,3,0),0)),"NA")</f>
        <v>NA</v>
      </c>
      <c r="I8" s="16" t="str">
        <f aca="false">IFERROR(IF(VLOOKUP($D8,'Raw Data'!$B:$CQ,VLOOKUP('SWB CaseList'!I$5,'SWB-Lists'!$A:$C,3,0),0)=0,"NA",VLOOKUP($D8,'Raw Data'!$B:$CQ,VLOOKUP('SWB CaseList'!I$5,'SWB-Lists'!$A:$C,3,0),0)),"NA")</f>
        <v>NA</v>
      </c>
      <c r="J8" s="16" t="str">
        <f aca="false">IFERROR(IF(VLOOKUP($D8,'Raw Data'!$B:$CQ,VLOOKUP('SWB CaseList'!J$5,'SWB-Lists'!$A:$C,3,0),0)=0,"NA",VLOOKUP($D8,'Raw Data'!$B:$CQ,VLOOKUP('SWB CaseList'!J$5,'SWB-Lists'!$A:$C,3,0),0)),"NA")</f>
        <v>NA</v>
      </c>
      <c r="K8" s="16" t="str">
        <f aca="false">IFERROR(IF(VLOOKUP($D8,'Raw Data'!$B:$CQ,VLOOKUP('SWB CaseList'!K$5,'SWB-Lists'!$A:$C,3,0),0)=0,"NA",VLOOKUP($D8,'Raw Data'!$B:$CQ,VLOOKUP('SWB CaseList'!K$5,'SWB-Lists'!$A:$C,3,0),0)),"NA")</f>
        <v>NA</v>
      </c>
      <c r="L8" s="16" t="str">
        <f aca="false">IFERROR(IF(VLOOKUP($D8,'Raw Data'!$B:$CQ,VLOOKUP('SWB CaseList'!L$5,'SWB-Lists'!$A:$C,3,0),0)=0,"NA",VLOOKUP($D8,'Raw Data'!$B:$CQ,VLOOKUP('SWB CaseList'!L$5,'SWB-Lists'!$A:$C,3,0),0)),"NA")</f>
        <v>NA</v>
      </c>
      <c r="M8" s="16" t="str">
        <f aca="false">IFERROR(IF(VLOOKUP($D8,'Raw Data'!$B:$CQ,VLOOKUP('SWB CaseList'!M$5,'SWB-Lists'!$A:$C,3,0),0)=0,"NA",VLOOKUP($D8,'Raw Data'!$B:$CQ,VLOOKUP('SWB CaseList'!M$5,'SWB-Lists'!$A:$C,3,0),0)),"NA")</f>
        <v>NA</v>
      </c>
      <c r="N8" s="47" t="str">
        <f aca="false">IFERROR(IF(VLOOKUP($D8,'Raw Data'!$B:$CQ,VLOOKUP('SWB CaseList'!N$5,'SWB-Lists'!$A:$C,3,0),0)=0,"NA",VLOOKUP($D8,'Raw Data'!$B:$CQ,VLOOKUP('SWB CaseList'!N$5,'SWB-Lists'!$A:$C,3,0),0)),"NA")</f>
        <v>NA</v>
      </c>
      <c r="O8" s="48" t="str">
        <f aca="false">IFERROR(IF(VLOOKUP($D8,'Raw Data'!$B:$CQ,VLOOKUP('SWB CaseList'!O$5,'SWB-Lists'!$A:$C,3,0),0)=0,"NA",VLOOKUP($D8,'Raw Data'!$B:$CQ,VLOOKUP('SWB CaseList'!O$5,'SWB-Lists'!$A:$C,3,0),0)),"NA")</f>
        <v>NA</v>
      </c>
      <c r="P8" s="49" t="str">
        <f aca="false">IFERROR(IF(VLOOKUP($D8,'Raw Data'!$B:$CQ,VLOOKUP('SWB CaseList'!P$5,'SWB-Lists'!$A:$C,3,0),0)=0,"NA",VLOOKUP($D8,'Raw Data'!$B:$CQ,VLOOKUP('SWB CaseList'!P$5,'SWB-Lists'!$A:$C,3,0),0)),"NA")</f>
        <v>NA</v>
      </c>
      <c r="Q8" s="16" t="str">
        <f aca="false">IFERROR(IF(VLOOKUP($D8,'Raw Data'!$B:$CQ,VLOOKUP('SWB CaseList'!Q$5,'SWB-Lists'!$A:$C,3,0),0)=0,"NA",VLOOKUP($D8,'Raw Data'!$B:$CQ,VLOOKUP('SWB CaseList'!Q$5,'SWB-Lists'!$A:$C,3,0),0)),"NA")</f>
        <v>NA</v>
      </c>
      <c r="R8" s="16" t="str">
        <f aca="false">IFERROR(IF(VLOOKUP($D8,'Raw Data'!$B:$CQ,VLOOKUP('SWB CaseList'!R$5,'SWB-Lists'!$A:$C,3,0),0)=0,"NA",VLOOKUP($D8,'Raw Data'!$B:$CQ,VLOOKUP('SWB CaseList'!R$5,'SWB-Lists'!$A:$C,3,0),0)),"NA")</f>
        <v>NA</v>
      </c>
      <c r="S8" s="16" t="str">
        <f aca="false">IFERROR(IF(VLOOKUP($D8,'Raw Data'!$B:$CQ,VLOOKUP('SWB CaseList'!S$5,'SWB-Lists'!$A:$C,3,0),0)=0,"NA",VLOOKUP($D8,'Raw Data'!$B:$CQ,VLOOKUP('SWB CaseList'!S$5,'SWB-Lists'!$A:$C,3,0),0)),"NA")</f>
        <v>NA</v>
      </c>
      <c r="T8" s="16" t="str">
        <f aca="false">IFERROR(IF(VLOOKUP($D8,'Raw Data'!$B:$CQ,VLOOKUP('SWB CaseList'!T$5,'SWB-Lists'!$A:$C,3,0),0)=0,"NA",VLOOKUP($D8,'Raw Data'!$B:$CQ,VLOOKUP('SWB CaseList'!T$5,'SWB-Lists'!$A:$C,3,0),0)),"NA")</f>
        <v>NA</v>
      </c>
      <c r="U8" s="16" t="str">
        <f aca="false">IFERROR(IF(VLOOKUP($D8,'Raw Data'!$B:$CQ,VLOOKUP('SWB CaseList'!U$5,'SWB-Lists'!$A:$C,3,0),0)=0,"NA",VLOOKUP($D8,'Raw Data'!$B:$CQ,VLOOKUP('SWB CaseList'!U$5,'SWB-Lists'!$A:$C,3,0),0)),"NA")</f>
        <v>NA</v>
      </c>
      <c r="V8" s="16" t="str">
        <f aca="false">IFERROR(IF(VLOOKUP($D8,'Raw Data'!$B:$CQ,VLOOKUP('SWB CaseList'!V$5,'SWB-Lists'!$A:$C,3,0),0)=0,"NA",VLOOKUP($D8,'Raw Data'!$B:$CQ,VLOOKUP('SWB CaseList'!V$5,'SWB-Lists'!$A:$C,3,0),0)),"NA")</f>
        <v>NA</v>
      </c>
      <c r="W8" s="16" t="str">
        <f aca="false">IFERROR(IF(VLOOKUP($D8,'Raw Data'!$B:$CQ,VLOOKUP('SWB CaseList'!W$5,'SWB-Lists'!$A:$C,3,0),0)=0,"NA",VLOOKUP($D8,'Raw Data'!$B:$CQ,VLOOKUP('SWB CaseList'!W$5,'SWB-Lists'!$A:$C,3,0),0)),"NA")</f>
        <v>NA</v>
      </c>
      <c r="X8" s="16" t="str">
        <f aca="false">IFERROR(IF(VLOOKUP($D8,'Raw Data'!$B:$CQ,VLOOKUP('SWB CaseList'!X$5,'SWB-Lists'!$A:$C,3,0),0)=0,"NA",VLOOKUP($D8,'Raw Data'!$B:$CQ,VLOOKUP('SWB CaseList'!X$5,'SWB-Lists'!$A:$C,3,0),0)),"NA")</f>
        <v>NA</v>
      </c>
      <c r="Y8" s="16" t="str">
        <f aca="false">IFERROR(IF(VLOOKUP($D8,'Raw Data'!$B:$CQ,VLOOKUP('SWB CaseList'!Y$5,'SWB-Lists'!$A:$C,3,0),0)=0,"NA",VLOOKUP($D8,'Raw Data'!$B:$CQ,VLOOKUP('SWB CaseList'!Y$5,'SWB-Lists'!$A:$C,3,0),0)),"NA")</f>
        <v>NA</v>
      </c>
      <c r="Z8" s="1" t="str">
        <f aca="false">IF($D8="","",IF(OR($J8="",$J8="NA"),"Sin datos",IF(OR(ISNUMBER(SEARCH("Chihuahua",$J8)),ISNUMBER(SEARCH("Coahuila",$J8)),ISNUMBER(SEARCH("Baja California Norte",$J8)),ISNUMBER(SEARCH("Nuevo Leon",$J8)),ISNUMBER(SEARCH("Nuevo León",$J8)),ISNUMBER(SEARCH("Tamaulipas",$J8)),ISNUMBER(SEARCH("Sonora",$J8))),"OK - Frontera","Revisar: State no es Frontera")))</f>
        <v>Sin datos</v>
      </c>
      <c r="AA8" s="19" t="n">
        <v>10000001323417</v>
      </c>
    </row>
    <row r="9" customFormat="false" ht="14.25" hidden="false" customHeight="true" outlineLevel="0" collapsed="false">
      <c r="A9" s="13"/>
      <c r="B9" s="14" t="s">
        <v>367</v>
      </c>
      <c r="C9" s="14" t="s">
        <v>47</v>
      </c>
      <c r="D9" s="45" t="n">
        <v>12389279</v>
      </c>
      <c r="E9" s="17" t="str">
        <f aca="false">IFERROR(IF(VLOOKUP($D9,'Raw Data'!$B:$CQ,VLOOKUP('SWB CaseList'!E$5,'SWB-Lists'!$A:$C,3,0),0)=0,"NA",VLOOKUP($D9,'Raw Data'!$B:$CQ,VLOOKUP('SWB CaseList'!E$5,'SWB-Lists'!$A:$C,3,0),0)),"NA")</f>
        <v>NA</v>
      </c>
      <c r="F9" s="46" t="s">
        <v>48</v>
      </c>
      <c r="G9" s="16" t="str">
        <f aca="false">IFERROR(IF(VLOOKUP($D9,'Raw Data'!$B:$CQ,VLOOKUP('SWB CaseList'!G$5,'SWB-Lists'!$A:$C,3,0),0)=0,"NA",VLOOKUP($D9,'Raw Data'!$B:$CQ,VLOOKUP('SWB CaseList'!G$5,'SWB-Lists'!$A:$C,3,0),0)),"NA")</f>
        <v>NA</v>
      </c>
      <c r="H9" s="16" t="str">
        <f aca="false">IFERROR(IF(VLOOKUP($D9,'Raw Data'!$B:$CQ,VLOOKUP('SWB CaseList'!H$5,'SWB-Lists'!$A:$C,3,0),0)=0,"NA",VLOOKUP($D9,'Raw Data'!$B:$CQ,VLOOKUP('SWB CaseList'!H$5,'SWB-Lists'!$A:$C,3,0),0)),"NA")</f>
        <v>NA</v>
      </c>
      <c r="I9" s="16" t="str">
        <f aca="false">IFERROR(IF(VLOOKUP($D9,'Raw Data'!$B:$CQ,VLOOKUP('SWB CaseList'!I$5,'SWB-Lists'!$A:$C,3,0),0)=0,"NA",VLOOKUP($D9,'Raw Data'!$B:$CQ,VLOOKUP('SWB CaseList'!I$5,'SWB-Lists'!$A:$C,3,0),0)),"NA")</f>
        <v>NA</v>
      </c>
      <c r="J9" s="16" t="str">
        <f aca="false">IFERROR(IF(VLOOKUP($D9,'Raw Data'!$B:$CQ,VLOOKUP('SWB CaseList'!J$5,'SWB-Lists'!$A:$C,3,0),0)=0,"NA",VLOOKUP($D9,'Raw Data'!$B:$CQ,VLOOKUP('SWB CaseList'!J$5,'SWB-Lists'!$A:$C,3,0),0)),"NA")</f>
        <v>NA</v>
      </c>
      <c r="K9" s="16" t="str">
        <f aca="false">IFERROR(IF(VLOOKUP($D9,'Raw Data'!$B:$CQ,VLOOKUP('SWB CaseList'!K$5,'SWB-Lists'!$A:$C,3,0),0)=0,"NA",VLOOKUP($D9,'Raw Data'!$B:$CQ,VLOOKUP('SWB CaseList'!K$5,'SWB-Lists'!$A:$C,3,0),0)),"NA")</f>
        <v>NA</v>
      </c>
      <c r="L9" s="16" t="str">
        <f aca="false">IFERROR(IF(VLOOKUP($D9,'Raw Data'!$B:$CQ,VLOOKUP('SWB CaseList'!L$5,'SWB-Lists'!$A:$C,3,0),0)=0,"NA",VLOOKUP($D9,'Raw Data'!$B:$CQ,VLOOKUP('SWB CaseList'!L$5,'SWB-Lists'!$A:$C,3,0),0)),"NA")</f>
        <v>NA</v>
      </c>
      <c r="M9" s="16" t="str">
        <f aca="false">IFERROR(IF(VLOOKUP($D9,'Raw Data'!$B:$CQ,VLOOKUP('SWB CaseList'!M$5,'SWB-Lists'!$A:$C,3,0),0)=0,"NA",VLOOKUP($D9,'Raw Data'!$B:$CQ,VLOOKUP('SWB CaseList'!M$5,'SWB-Lists'!$A:$C,3,0),0)),"NA")</f>
        <v>NA</v>
      </c>
      <c r="N9" s="47" t="str">
        <f aca="false">IFERROR(IF(VLOOKUP($D9,'Raw Data'!$B:$CQ,VLOOKUP('SWB CaseList'!N$5,'SWB-Lists'!$A:$C,3,0),0)=0,"NA",VLOOKUP($D9,'Raw Data'!$B:$CQ,VLOOKUP('SWB CaseList'!N$5,'SWB-Lists'!$A:$C,3,0),0)),"NA")</f>
        <v>NA</v>
      </c>
      <c r="O9" s="48" t="str">
        <f aca="false">IFERROR(IF(VLOOKUP($D9,'Raw Data'!$B:$CQ,VLOOKUP('SWB CaseList'!O$5,'SWB-Lists'!$A:$C,3,0),0)=0,"NA",VLOOKUP($D9,'Raw Data'!$B:$CQ,VLOOKUP('SWB CaseList'!O$5,'SWB-Lists'!$A:$C,3,0),0)),"NA")</f>
        <v>NA</v>
      </c>
      <c r="P9" s="49" t="str">
        <f aca="false">IFERROR(IF(VLOOKUP($D9,'Raw Data'!$B:$CQ,VLOOKUP('SWB CaseList'!P$5,'SWB-Lists'!$A:$C,3,0),0)=0,"NA",VLOOKUP($D9,'Raw Data'!$B:$CQ,VLOOKUP('SWB CaseList'!P$5,'SWB-Lists'!$A:$C,3,0),0)),"NA")</f>
        <v>NA</v>
      </c>
      <c r="Q9" s="16" t="str">
        <f aca="false">IFERROR(IF(VLOOKUP($D9,'Raw Data'!$B:$CQ,VLOOKUP('SWB CaseList'!Q$5,'SWB-Lists'!$A:$C,3,0),0)=0,"NA",VLOOKUP($D9,'Raw Data'!$B:$CQ,VLOOKUP('SWB CaseList'!Q$5,'SWB-Lists'!$A:$C,3,0),0)),"NA")</f>
        <v>NA</v>
      </c>
      <c r="R9" s="16" t="str">
        <f aca="false">IFERROR(IF(VLOOKUP($D9,'Raw Data'!$B:$CQ,VLOOKUP('SWB CaseList'!R$5,'SWB-Lists'!$A:$C,3,0),0)=0,"NA",VLOOKUP($D9,'Raw Data'!$B:$CQ,VLOOKUP('SWB CaseList'!R$5,'SWB-Lists'!$A:$C,3,0),0)),"NA")</f>
        <v>NA</v>
      </c>
      <c r="S9" s="16" t="str">
        <f aca="false">IFERROR(IF(VLOOKUP($D9,'Raw Data'!$B:$CQ,VLOOKUP('SWB CaseList'!S$5,'SWB-Lists'!$A:$C,3,0),0)=0,"NA",VLOOKUP($D9,'Raw Data'!$B:$CQ,VLOOKUP('SWB CaseList'!S$5,'SWB-Lists'!$A:$C,3,0),0)),"NA")</f>
        <v>NA</v>
      </c>
      <c r="T9" s="16" t="str">
        <f aca="false">IFERROR(IF(VLOOKUP($D9,'Raw Data'!$B:$CQ,VLOOKUP('SWB CaseList'!T$5,'SWB-Lists'!$A:$C,3,0),0)=0,"NA",VLOOKUP($D9,'Raw Data'!$B:$CQ,VLOOKUP('SWB CaseList'!T$5,'SWB-Lists'!$A:$C,3,0),0)),"NA")</f>
        <v>NA</v>
      </c>
      <c r="U9" s="16" t="str">
        <f aca="false">IFERROR(IF(VLOOKUP($D9,'Raw Data'!$B:$CQ,VLOOKUP('SWB CaseList'!U$5,'SWB-Lists'!$A:$C,3,0),0)=0,"NA",VLOOKUP($D9,'Raw Data'!$B:$CQ,VLOOKUP('SWB CaseList'!U$5,'SWB-Lists'!$A:$C,3,0),0)),"NA")</f>
        <v>NA</v>
      </c>
      <c r="V9" s="16" t="str">
        <f aca="false">IFERROR(IF(VLOOKUP($D9,'Raw Data'!$B:$CQ,VLOOKUP('SWB CaseList'!V$5,'SWB-Lists'!$A:$C,3,0),0)=0,"NA",VLOOKUP($D9,'Raw Data'!$B:$CQ,VLOOKUP('SWB CaseList'!V$5,'SWB-Lists'!$A:$C,3,0),0)),"NA")</f>
        <v>NA</v>
      </c>
      <c r="W9" s="16" t="str">
        <f aca="false">IFERROR(IF(VLOOKUP($D9,'Raw Data'!$B:$CQ,VLOOKUP('SWB CaseList'!W$5,'SWB-Lists'!$A:$C,3,0),0)=0,"NA",VLOOKUP($D9,'Raw Data'!$B:$CQ,VLOOKUP('SWB CaseList'!W$5,'SWB-Lists'!$A:$C,3,0),0)),"NA")</f>
        <v>NA</v>
      </c>
      <c r="X9" s="16" t="str">
        <f aca="false">IFERROR(IF(VLOOKUP($D9,'Raw Data'!$B:$CQ,VLOOKUP('SWB CaseList'!X$5,'SWB-Lists'!$A:$C,3,0),0)=0,"NA",VLOOKUP($D9,'Raw Data'!$B:$CQ,VLOOKUP('SWB CaseList'!X$5,'SWB-Lists'!$A:$C,3,0),0)),"NA")</f>
        <v>NA</v>
      </c>
      <c r="Y9" s="16" t="str">
        <f aca="false">IFERROR(IF(VLOOKUP($D9,'Raw Data'!$B:$CQ,VLOOKUP('SWB CaseList'!Y$5,'SWB-Lists'!$A:$C,3,0),0)=0,"NA",VLOOKUP($D9,'Raw Data'!$B:$CQ,VLOOKUP('SWB CaseList'!Y$5,'SWB-Lists'!$A:$C,3,0),0)),"NA")</f>
        <v>NA</v>
      </c>
      <c r="Z9" s="1" t="str">
        <f aca="false">IF($D9="","",IF(OR($J9="",$J9="NA"),"Sin datos",IF(OR(ISNUMBER(SEARCH("Chihuahua",$J9)),ISNUMBER(SEARCH("Coahuila",$J9)),ISNUMBER(SEARCH("Baja California Norte",$J9)),ISNUMBER(SEARCH("Nuevo Leon",$J9)),ISNUMBER(SEARCH("Nuevo León",$J9)),ISNUMBER(SEARCH("Tamaulipas",$J9)),ISNUMBER(SEARCH("Sonora",$J9))),"OK - Frontera","Revisar: State no es Frontera")))</f>
        <v>Sin datos</v>
      </c>
      <c r="AA9" s="19" t="n">
        <v>10000001931228</v>
      </c>
    </row>
    <row r="10" customFormat="false" ht="14.25" hidden="false" customHeight="true" outlineLevel="0" collapsed="false">
      <c r="A10" s="13"/>
      <c r="B10" s="14" t="s">
        <v>367</v>
      </c>
      <c r="C10" s="14" t="s">
        <v>47</v>
      </c>
      <c r="D10" s="45" t="n">
        <v>12389277</v>
      </c>
      <c r="E10" s="17" t="str">
        <f aca="false">IFERROR(IF(VLOOKUP($D10,'Raw Data'!$B:$CQ,VLOOKUP('SWB CaseList'!E$5,'SWB-Lists'!$A:$C,3,0),0)=0,"NA",VLOOKUP($D10,'Raw Data'!$B:$CQ,VLOOKUP('SWB CaseList'!E$5,'SWB-Lists'!$A:$C,3,0),0)),"NA")</f>
        <v>NA</v>
      </c>
      <c r="F10" s="46" t="s">
        <v>48</v>
      </c>
      <c r="G10" s="16" t="str">
        <f aca="false">IFERROR(IF(VLOOKUP($D10,'Raw Data'!$B:$CQ,VLOOKUP('SWB CaseList'!G$5,'SWB-Lists'!$A:$C,3,0),0)=0,"NA",VLOOKUP($D10,'Raw Data'!$B:$CQ,VLOOKUP('SWB CaseList'!G$5,'SWB-Lists'!$A:$C,3,0),0)),"NA")</f>
        <v>NA</v>
      </c>
      <c r="H10" s="16" t="str">
        <f aca="false">IFERROR(IF(VLOOKUP($D10,'Raw Data'!$B:$CQ,VLOOKUP('SWB CaseList'!H$5,'SWB-Lists'!$A:$C,3,0),0)=0,"NA",VLOOKUP($D10,'Raw Data'!$B:$CQ,VLOOKUP('SWB CaseList'!H$5,'SWB-Lists'!$A:$C,3,0),0)),"NA")</f>
        <v>NA</v>
      </c>
      <c r="I10" s="16" t="str">
        <f aca="false">IFERROR(IF(VLOOKUP($D10,'Raw Data'!$B:$CQ,VLOOKUP('SWB CaseList'!I$5,'SWB-Lists'!$A:$C,3,0),0)=0,"NA",VLOOKUP($D10,'Raw Data'!$B:$CQ,VLOOKUP('SWB CaseList'!I$5,'SWB-Lists'!$A:$C,3,0),0)),"NA")</f>
        <v>NA</v>
      </c>
      <c r="J10" s="16" t="str">
        <f aca="false">IFERROR(IF(VLOOKUP($D10,'Raw Data'!$B:$CQ,VLOOKUP('SWB CaseList'!J$5,'SWB-Lists'!$A:$C,3,0),0)=0,"NA",VLOOKUP($D10,'Raw Data'!$B:$CQ,VLOOKUP('SWB CaseList'!J$5,'SWB-Lists'!$A:$C,3,0),0)),"NA")</f>
        <v>NA</v>
      </c>
      <c r="K10" s="16" t="str">
        <f aca="false">IFERROR(IF(VLOOKUP($D10,'Raw Data'!$B:$CQ,VLOOKUP('SWB CaseList'!K$5,'SWB-Lists'!$A:$C,3,0),0)=0,"NA",VLOOKUP($D10,'Raw Data'!$B:$CQ,VLOOKUP('SWB CaseList'!K$5,'SWB-Lists'!$A:$C,3,0),0)),"NA")</f>
        <v>NA</v>
      </c>
      <c r="L10" s="16" t="str">
        <f aca="false">IFERROR(IF(VLOOKUP($D10,'Raw Data'!$B:$CQ,VLOOKUP('SWB CaseList'!L$5,'SWB-Lists'!$A:$C,3,0),0)=0,"NA",VLOOKUP($D10,'Raw Data'!$B:$CQ,VLOOKUP('SWB CaseList'!L$5,'SWB-Lists'!$A:$C,3,0),0)),"NA")</f>
        <v>NA</v>
      </c>
      <c r="M10" s="16" t="str">
        <f aca="false">IFERROR(IF(VLOOKUP($D10,'Raw Data'!$B:$CQ,VLOOKUP('SWB CaseList'!M$5,'SWB-Lists'!$A:$C,3,0),0)=0,"NA",VLOOKUP($D10,'Raw Data'!$B:$CQ,VLOOKUP('SWB CaseList'!M$5,'SWB-Lists'!$A:$C,3,0),0)),"NA")</f>
        <v>NA</v>
      </c>
      <c r="N10" s="47" t="str">
        <f aca="false">IFERROR(IF(VLOOKUP($D10,'Raw Data'!$B:$CQ,VLOOKUP('SWB CaseList'!N$5,'SWB-Lists'!$A:$C,3,0),0)=0,"NA",VLOOKUP($D10,'Raw Data'!$B:$CQ,VLOOKUP('SWB CaseList'!N$5,'SWB-Lists'!$A:$C,3,0),0)),"NA")</f>
        <v>NA</v>
      </c>
      <c r="O10" s="48" t="str">
        <f aca="false">IFERROR(IF(VLOOKUP($D10,'Raw Data'!$B:$CQ,VLOOKUP('SWB CaseList'!O$5,'SWB-Lists'!$A:$C,3,0),0)=0,"NA",VLOOKUP($D10,'Raw Data'!$B:$CQ,VLOOKUP('SWB CaseList'!O$5,'SWB-Lists'!$A:$C,3,0),0)),"NA")</f>
        <v>NA</v>
      </c>
      <c r="P10" s="49" t="str">
        <f aca="false">IFERROR(IF(VLOOKUP($D10,'Raw Data'!$B:$CQ,VLOOKUP('SWB CaseList'!P$5,'SWB-Lists'!$A:$C,3,0),0)=0,"NA",VLOOKUP($D10,'Raw Data'!$B:$CQ,VLOOKUP('SWB CaseList'!P$5,'SWB-Lists'!$A:$C,3,0),0)),"NA")</f>
        <v>NA</v>
      </c>
      <c r="Q10" s="16" t="str">
        <f aca="false">IFERROR(IF(VLOOKUP($D10,'Raw Data'!$B:$CQ,VLOOKUP('SWB CaseList'!Q$5,'SWB-Lists'!$A:$C,3,0),0)=0,"NA",VLOOKUP($D10,'Raw Data'!$B:$CQ,VLOOKUP('SWB CaseList'!Q$5,'SWB-Lists'!$A:$C,3,0),0)),"NA")</f>
        <v>NA</v>
      </c>
      <c r="R10" s="16" t="str">
        <f aca="false">IFERROR(IF(VLOOKUP($D10,'Raw Data'!$B:$CQ,VLOOKUP('SWB CaseList'!R$5,'SWB-Lists'!$A:$C,3,0),0)=0,"NA",VLOOKUP($D10,'Raw Data'!$B:$CQ,VLOOKUP('SWB CaseList'!R$5,'SWB-Lists'!$A:$C,3,0),0)),"NA")</f>
        <v>NA</v>
      </c>
      <c r="S10" s="16" t="str">
        <f aca="false">IFERROR(IF(VLOOKUP($D10,'Raw Data'!$B:$CQ,VLOOKUP('SWB CaseList'!S$5,'SWB-Lists'!$A:$C,3,0),0)=0,"NA",VLOOKUP($D10,'Raw Data'!$B:$CQ,VLOOKUP('SWB CaseList'!S$5,'SWB-Lists'!$A:$C,3,0),0)),"NA")</f>
        <v>NA</v>
      </c>
      <c r="T10" s="16" t="str">
        <f aca="false">IFERROR(IF(VLOOKUP($D10,'Raw Data'!$B:$CQ,VLOOKUP('SWB CaseList'!T$5,'SWB-Lists'!$A:$C,3,0),0)=0,"NA",VLOOKUP($D10,'Raw Data'!$B:$CQ,VLOOKUP('SWB CaseList'!T$5,'SWB-Lists'!$A:$C,3,0),0)),"NA")</f>
        <v>NA</v>
      </c>
      <c r="U10" s="16" t="str">
        <f aca="false">IFERROR(IF(VLOOKUP($D10,'Raw Data'!$B:$CQ,VLOOKUP('SWB CaseList'!U$5,'SWB-Lists'!$A:$C,3,0),0)=0,"NA",VLOOKUP($D10,'Raw Data'!$B:$CQ,VLOOKUP('SWB CaseList'!U$5,'SWB-Lists'!$A:$C,3,0),0)),"NA")</f>
        <v>NA</v>
      </c>
      <c r="V10" s="16" t="str">
        <f aca="false">IFERROR(IF(VLOOKUP($D10,'Raw Data'!$B:$CQ,VLOOKUP('SWB CaseList'!V$5,'SWB-Lists'!$A:$C,3,0),0)=0,"NA",VLOOKUP($D10,'Raw Data'!$B:$CQ,VLOOKUP('SWB CaseList'!V$5,'SWB-Lists'!$A:$C,3,0),0)),"NA")</f>
        <v>NA</v>
      </c>
      <c r="W10" s="16" t="str">
        <f aca="false">IFERROR(IF(VLOOKUP($D10,'Raw Data'!$B:$CQ,VLOOKUP('SWB CaseList'!W$5,'SWB-Lists'!$A:$C,3,0),0)=0,"NA",VLOOKUP($D10,'Raw Data'!$B:$CQ,VLOOKUP('SWB CaseList'!W$5,'SWB-Lists'!$A:$C,3,0),0)),"NA")</f>
        <v>NA</v>
      </c>
      <c r="X10" s="16" t="str">
        <f aca="false">IFERROR(IF(VLOOKUP($D10,'Raw Data'!$B:$CQ,VLOOKUP('SWB CaseList'!X$5,'SWB-Lists'!$A:$C,3,0),0)=0,"NA",VLOOKUP($D10,'Raw Data'!$B:$CQ,VLOOKUP('SWB CaseList'!X$5,'SWB-Lists'!$A:$C,3,0),0)),"NA")</f>
        <v>NA</v>
      </c>
      <c r="Y10" s="16" t="str">
        <f aca="false">IFERROR(IF(VLOOKUP($D10,'Raw Data'!$B:$CQ,VLOOKUP('SWB CaseList'!Y$5,'SWB-Lists'!$A:$C,3,0),0)=0,"NA",VLOOKUP($D10,'Raw Data'!$B:$CQ,VLOOKUP('SWB CaseList'!Y$5,'SWB-Lists'!$A:$C,3,0),0)),"NA")</f>
        <v>NA</v>
      </c>
      <c r="Z10" s="1" t="str">
        <f aca="false">IF($D10="","",IF(OR($J10="",$J10="NA"),"Sin datos",IF(OR(ISNUMBER(SEARCH("Chihuahua",$J10)),ISNUMBER(SEARCH("Coahuila",$J10)),ISNUMBER(SEARCH("Baja California Norte",$J10)),ISNUMBER(SEARCH("Nuevo Leon",$J10)),ISNUMBER(SEARCH("Nuevo León",$J10)),ISNUMBER(SEARCH("Tamaulipas",$J10)),ISNUMBER(SEARCH("Sonora",$J10))),"OK - Frontera","Revisar: State no es Frontera")))</f>
        <v>Sin datos</v>
      </c>
    </row>
    <row r="11" customFormat="false" ht="14.25" hidden="false" customHeight="true" outlineLevel="0" collapsed="false">
      <c r="A11" s="13"/>
      <c r="B11" s="14" t="s">
        <v>367</v>
      </c>
      <c r="C11" s="14" t="s">
        <v>47</v>
      </c>
      <c r="D11" s="45" t="n">
        <v>12389269</v>
      </c>
      <c r="E11" s="17" t="str">
        <f aca="false">IFERROR(IF(VLOOKUP($D11,'Raw Data'!$B:$CQ,VLOOKUP('SWB CaseList'!E$5,'SWB-Lists'!$A:$C,3,0),0)=0,"NA",VLOOKUP($D11,'Raw Data'!$B:$CQ,VLOOKUP('SWB CaseList'!E$5,'SWB-Lists'!$A:$C,3,0),0)),"NA")</f>
        <v>NA</v>
      </c>
      <c r="F11" s="46" t="s">
        <v>48</v>
      </c>
      <c r="G11" s="16" t="str">
        <f aca="false">IFERROR(IF(VLOOKUP($D11,'Raw Data'!$B:$CQ,VLOOKUP('SWB CaseList'!G$5,'SWB-Lists'!$A:$C,3,0),0)=0,"NA",VLOOKUP($D11,'Raw Data'!$B:$CQ,VLOOKUP('SWB CaseList'!G$5,'SWB-Lists'!$A:$C,3,0),0)),"NA")</f>
        <v>NA</v>
      </c>
      <c r="H11" s="16" t="str">
        <f aca="false">IFERROR(IF(VLOOKUP($D11,'Raw Data'!$B:$CQ,VLOOKUP('SWB CaseList'!H$5,'SWB-Lists'!$A:$C,3,0),0)=0,"NA",VLOOKUP($D11,'Raw Data'!$B:$CQ,VLOOKUP('SWB CaseList'!H$5,'SWB-Lists'!$A:$C,3,0),0)),"NA")</f>
        <v>NA</v>
      </c>
      <c r="I11" s="16" t="str">
        <f aca="false">IFERROR(IF(VLOOKUP($D11,'Raw Data'!$B:$CQ,VLOOKUP('SWB CaseList'!I$5,'SWB-Lists'!$A:$C,3,0),0)=0,"NA",VLOOKUP($D11,'Raw Data'!$B:$CQ,VLOOKUP('SWB CaseList'!I$5,'SWB-Lists'!$A:$C,3,0),0)),"NA")</f>
        <v>NA</v>
      </c>
      <c r="J11" s="16" t="str">
        <f aca="false">IFERROR(IF(VLOOKUP($D11,'Raw Data'!$B:$CQ,VLOOKUP('SWB CaseList'!J$5,'SWB-Lists'!$A:$C,3,0),0)=0,"NA",VLOOKUP($D11,'Raw Data'!$B:$CQ,VLOOKUP('SWB CaseList'!J$5,'SWB-Lists'!$A:$C,3,0),0)),"NA")</f>
        <v>NA</v>
      </c>
      <c r="K11" s="16" t="str">
        <f aca="false">IFERROR(IF(VLOOKUP($D11,'Raw Data'!$B:$CQ,VLOOKUP('SWB CaseList'!K$5,'SWB-Lists'!$A:$C,3,0),0)=0,"NA",VLOOKUP($D11,'Raw Data'!$B:$CQ,VLOOKUP('SWB CaseList'!K$5,'SWB-Lists'!$A:$C,3,0),0)),"NA")</f>
        <v>NA</v>
      </c>
      <c r="L11" s="16" t="str">
        <f aca="false">IFERROR(IF(VLOOKUP($D11,'Raw Data'!$B:$CQ,VLOOKUP('SWB CaseList'!L$5,'SWB-Lists'!$A:$C,3,0),0)=0,"NA",VLOOKUP($D11,'Raw Data'!$B:$CQ,VLOOKUP('SWB CaseList'!L$5,'SWB-Lists'!$A:$C,3,0),0)),"NA")</f>
        <v>NA</v>
      </c>
      <c r="M11" s="16" t="str">
        <f aca="false">IFERROR(IF(VLOOKUP($D11,'Raw Data'!$B:$CQ,VLOOKUP('SWB CaseList'!M$5,'SWB-Lists'!$A:$C,3,0),0)=0,"NA",VLOOKUP($D11,'Raw Data'!$B:$CQ,VLOOKUP('SWB CaseList'!M$5,'SWB-Lists'!$A:$C,3,0),0)),"NA")</f>
        <v>NA</v>
      </c>
      <c r="N11" s="47" t="str">
        <f aca="false">IFERROR(IF(VLOOKUP($D11,'Raw Data'!$B:$CQ,VLOOKUP('SWB CaseList'!N$5,'SWB-Lists'!$A:$C,3,0),0)=0,"NA",VLOOKUP($D11,'Raw Data'!$B:$CQ,VLOOKUP('SWB CaseList'!N$5,'SWB-Lists'!$A:$C,3,0),0)),"NA")</f>
        <v>NA</v>
      </c>
      <c r="O11" s="48" t="str">
        <f aca="false">IFERROR(IF(VLOOKUP($D11,'Raw Data'!$B:$CQ,VLOOKUP('SWB CaseList'!O$5,'SWB-Lists'!$A:$C,3,0),0)=0,"NA",VLOOKUP($D11,'Raw Data'!$B:$CQ,VLOOKUP('SWB CaseList'!O$5,'SWB-Lists'!$A:$C,3,0),0)),"NA")</f>
        <v>NA</v>
      </c>
      <c r="P11" s="49" t="str">
        <f aca="false">IFERROR(IF(VLOOKUP($D11,'Raw Data'!$B:$CQ,VLOOKUP('SWB CaseList'!P$5,'SWB-Lists'!$A:$C,3,0),0)=0,"NA",VLOOKUP($D11,'Raw Data'!$B:$CQ,VLOOKUP('SWB CaseList'!P$5,'SWB-Lists'!$A:$C,3,0),0)),"NA")</f>
        <v>NA</v>
      </c>
      <c r="Q11" s="16" t="str">
        <f aca="false">IFERROR(IF(VLOOKUP($D11,'Raw Data'!$B:$CQ,VLOOKUP('SWB CaseList'!Q$5,'SWB-Lists'!$A:$C,3,0),0)=0,"NA",VLOOKUP($D11,'Raw Data'!$B:$CQ,VLOOKUP('SWB CaseList'!Q$5,'SWB-Lists'!$A:$C,3,0),0)),"NA")</f>
        <v>NA</v>
      </c>
      <c r="R11" s="16" t="str">
        <f aca="false">IFERROR(IF(VLOOKUP($D11,'Raw Data'!$B:$CQ,VLOOKUP('SWB CaseList'!R$5,'SWB-Lists'!$A:$C,3,0),0)=0,"NA",VLOOKUP($D11,'Raw Data'!$B:$CQ,VLOOKUP('SWB CaseList'!R$5,'SWB-Lists'!$A:$C,3,0),0)),"NA")</f>
        <v>NA</v>
      </c>
      <c r="S11" s="16" t="str">
        <f aca="false">IFERROR(IF(VLOOKUP($D11,'Raw Data'!$B:$CQ,VLOOKUP('SWB CaseList'!S$5,'SWB-Lists'!$A:$C,3,0),0)=0,"NA",VLOOKUP($D11,'Raw Data'!$B:$CQ,VLOOKUP('SWB CaseList'!S$5,'SWB-Lists'!$A:$C,3,0),0)),"NA")</f>
        <v>NA</v>
      </c>
      <c r="T11" s="16" t="str">
        <f aca="false">IFERROR(IF(VLOOKUP($D11,'Raw Data'!$B:$CQ,VLOOKUP('SWB CaseList'!T$5,'SWB-Lists'!$A:$C,3,0),0)=0,"NA",VLOOKUP($D11,'Raw Data'!$B:$CQ,VLOOKUP('SWB CaseList'!T$5,'SWB-Lists'!$A:$C,3,0),0)),"NA")</f>
        <v>NA</v>
      </c>
      <c r="U11" s="16" t="str">
        <f aca="false">IFERROR(IF(VLOOKUP($D11,'Raw Data'!$B:$CQ,VLOOKUP('SWB CaseList'!U$5,'SWB-Lists'!$A:$C,3,0),0)=0,"NA",VLOOKUP($D11,'Raw Data'!$B:$CQ,VLOOKUP('SWB CaseList'!U$5,'SWB-Lists'!$A:$C,3,0),0)),"NA")</f>
        <v>NA</v>
      </c>
      <c r="V11" s="16" t="str">
        <f aca="false">IFERROR(IF(VLOOKUP($D11,'Raw Data'!$B:$CQ,VLOOKUP('SWB CaseList'!V$5,'SWB-Lists'!$A:$C,3,0),0)=0,"NA",VLOOKUP($D11,'Raw Data'!$B:$CQ,VLOOKUP('SWB CaseList'!V$5,'SWB-Lists'!$A:$C,3,0),0)),"NA")</f>
        <v>NA</v>
      </c>
      <c r="W11" s="16" t="str">
        <f aca="false">IFERROR(IF(VLOOKUP($D11,'Raw Data'!$B:$CQ,VLOOKUP('SWB CaseList'!W$5,'SWB-Lists'!$A:$C,3,0),0)=0,"NA",VLOOKUP($D11,'Raw Data'!$B:$CQ,VLOOKUP('SWB CaseList'!W$5,'SWB-Lists'!$A:$C,3,0),0)),"NA")</f>
        <v>NA</v>
      </c>
      <c r="X11" s="16" t="str">
        <f aca="false">IFERROR(IF(VLOOKUP($D11,'Raw Data'!$B:$CQ,VLOOKUP('SWB CaseList'!X$5,'SWB-Lists'!$A:$C,3,0),0)=0,"NA",VLOOKUP($D11,'Raw Data'!$B:$CQ,VLOOKUP('SWB CaseList'!X$5,'SWB-Lists'!$A:$C,3,0),0)),"NA")</f>
        <v>NA</v>
      </c>
      <c r="Y11" s="16" t="str">
        <f aca="false">IFERROR(IF(VLOOKUP($D11,'Raw Data'!$B:$CQ,VLOOKUP('SWB CaseList'!Y$5,'SWB-Lists'!$A:$C,3,0),0)=0,"NA",VLOOKUP($D11,'Raw Data'!$B:$CQ,VLOOKUP('SWB CaseList'!Y$5,'SWB-Lists'!$A:$C,3,0),0)),"NA")</f>
        <v>NA</v>
      </c>
      <c r="Z11" s="1" t="str">
        <f aca="false">IF($D11="","",IF(OR($J11="",$J11="NA"),"Sin datos",IF(OR(ISNUMBER(SEARCH("Chihuahua",$J11)),ISNUMBER(SEARCH("Coahuila",$J11)),ISNUMBER(SEARCH("Baja California Norte",$J11)),ISNUMBER(SEARCH("Nuevo Leon",$J11)),ISNUMBER(SEARCH("Nuevo León",$J11)),ISNUMBER(SEARCH("Tamaulipas",$J11)),ISNUMBER(SEARCH("Sonora",$J11))),"OK - Frontera","Revisar: State no es Frontera")))</f>
        <v>Sin datos</v>
      </c>
    </row>
    <row r="12" customFormat="false" ht="14.25" hidden="false" customHeight="true" outlineLevel="0" collapsed="false">
      <c r="A12" s="13"/>
      <c r="B12" s="14" t="s">
        <v>367</v>
      </c>
      <c r="C12" s="14" t="s">
        <v>47</v>
      </c>
      <c r="D12" s="45" t="n">
        <v>12394302</v>
      </c>
      <c r="E12" s="17" t="str">
        <f aca="false">IFERROR(IF(VLOOKUP($D12,'Raw Data'!$B:$CQ,VLOOKUP('SWB CaseList'!E$5,'SWB-Lists'!$A:$C,3,0),0)=0,"NA",VLOOKUP($D12,'Raw Data'!$B:$CQ,VLOOKUP('SWB CaseList'!E$5,'SWB-Lists'!$A:$C,3,0),0)),"NA")</f>
        <v>NA</v>
      </c>
      <c r="F12" s="46" t="s">
        <v>48</v>
      </c>
      <c r="G12" s="16" t="str">
        <f aca="false">IFERROR(IF(VLOOKUP($D12,'Raw Data'!$B:$CQ,VLOOKUP('SWB CaseList'!G$5,'SWB-Lists'!$A:$C,3,0),0)=0,"NA",VLOOKUP($D12,'Raw Data'!$B:$CQ,VLOOKUP('SWB CaseList'!G$5,'SWB-Lists'!$A:$C,3,0),0)),"NA")</f>
        <v>NA</v>
      </c>
      <c r="H12" s="16" t="str">
        <f aca="false">IFERROR(IF(VLOOKUP($D12,'Raw Data'!$B:$CQ,VLOOKUP('SWB CaseList'!H$5,'SWB-Lists'!$A:$C,3,0),0)=0,"NA",VLOOKUP($D12,'Raw Data'!$B:$CQ,VLOOKUP('SWB CaseList'!H$5,'SWB-Lists'!$A:$C,3,0),0)),"NA")</f>
        <v>NA</v>
      </c>
      <c r="I12" s="16" t="str">
        <f aca="false">IFERROR(IF(VLOOKUP($D12,'Raw Data'!$B:$CQ,VLOOKUP('SWB CaseList'!I$5,'SWB-Lists'!$A:$C,3,0),0)=0,"NA",VLOOKUP($D12,'Raw Data'!$B:$CQ,VLOOKUP('SWB CaseList'!I$5,'SWB-Lists'!$A:$C,3,0),0)),"NA")</f>
        <v>NA</v>
      </c>
      <c r="J12" s="16" t="str">
        <f aca="false">IFERROR(IF(VLOOKUP($D12,'Raw Data'!$B:$CQ,VLOOKUP('SWB CaseList'!J$5,'SWB-Lists'!$A:$C,3,0),0)=0,"NA",VLOOKUP($D12,'Raw Data'!$B:$CQ,VLOOKUP('SWB CaseList'!J$5,'SWB-Lists'!$A:$C,3,0),0)),"NA")</f>
        <v>NA</v>
      </c>
      <c r="K12" s="16" t="str">
        <f aca="false">IFERROR(IF(VLOOKUP($D12,'Raw Data'!$B:$CQ,VLOOKUP('SWB CaseList'!K$5,'SWB-Lists'!$A:$C,3,0),0)=0,"NA",VLOOKUP($D12,'Raw Data'!$B:$CQ,VLOOKUP('SWB CaseList'!K$5,'SWB-Lists'!$A:$C,3,0),0)),"NA")</f>
        <v>NA</v>
      </c>
      <c r="L12" s="16" t="str">
        <f aca="false">IFERROR(IF(VLOOKUP($D12,'Raw Data'!$B:$CQ,VLOOKUP('SWB CaseList'!L$5,'SWB-Lists'!$A:$C,3,0),0)=0,"NA",VLOOKUP($D12,'Raw Data'!$B:$CQ,VLOOKUP('SWB CaseList'!L$5,'SWB-Lists'!$A:$C,3,0),0)),"NA")</f>
        <v>NA</v>
      </c>
      <c r="M12" s="16" t="str">
        <f aca="false">IFERROR(IF(VLOOKUP($D12,'Raw Data'!$B:$CQ,VLOOKUP('SWB CaseList'!M$5,'SWB-Lists'!$A:$C,3,0),0)=0,"NA",VLOOKUP($D12,'Raw Data'!$B:$CQ,VLOOKUP('SWB CaseList'!M$5,'SWB-Lists'!$A:$C,3,0),0)),"NA")</f>
        <v>NA</v>
      </c>
      <c r="N12" s="47" t="str">
        <f aca="false">IFERROR(IF(VLOOKUP($D12,'Raw Data'!$B:$CQ,VLOOKUP('SWB CaseList'!N$5,'SWB-Lists'!$A:$C,3,0),0)=0,"NA",VLOOKUP($D12,'Raw Data'!$B:$CQ,VLOOKUP('SWB CaseList'!N$5,'SWB-Lists'!$A:$C,3,0),0)),"NA")</f>
        <v>NA</v>
      </c>
      <c r="O12" s="48" t="str">
        <f aca="false">IFERROR(IF(VLOOKUP($D12,'Raw Data'!$B:$CQ,VLOOKUP('SWB CaseList'!O$5,'SWB-Lists'!$A:$C,3,0),0)=0,"NA",VLOOKUP($D12,'Raw Data'!$B:$CQ,VLOOKUP('SWB CaseList'!O$5,'SWB-Lists'!$A:$C,3,0),0)),"NA")</f>
        <v>NA</v>
      </c>
      <c r="P12" s="49" t="str">
        <f aca="false">IFERROR(IF(VLOOKUP($D12,'Raw Data'!$B:$CQ,VLOOKUP('SWB CaseList'!P$5,'SWB-Lists'!$A:$C,3,0),0)=0,"NA",VLOOKUP($D12,'Raw Data'!$B:$CQ,VLOOKUP('SWB CaseList'!P$5,'SWB-Lists'!$A:$C,3,0),0)),"NA")</f>
        <v>NA</v>
      </c>
      <c r="Q12" s="16" t="str">
        <f aca="false">IFERROR(IF(VLOOKUP($D12,'Raw Data'!$B:$CQ,VLOOKUP('SWB CaseList'!Q$5,'SWB-Lists'!$A:$C,3,0),0)=0,"NA",VLOOKUP($D12,'Raw Data'!$B:$CQ,VLOOKUP('SWB CaseList'!Q$5,'SWB-Lists'!$A:$C,3,0),0)),"NA")</f>
        <v>NA</v>
      </c>
      <c r="R12" s="16" t="str">
        <f aca="false">IFERROR(IF(VLOOKUP($D12,'Raw Data'!$B:$CQ,VLOOKUP('SWB CaseList'!R$5,'SWB-Lists'!$A:$C,3,0),0)=0,"NA",VLOOKUP($D12,'Raw Data'!$B:$CQ,VLOOKUP('SWB CaseList'!R$5,'SWB-Lists'!$A:$C,3,0),0)),"NA")</f>
        <v>NA</v>
      </c>
      <c r="S12" s="16" t="str">
        <f aca="false">IFERROR(IF(VLOOKUP($D12,'Raw Data'!$B:$CQ,VLOOKUP('SWB CaseList'!S$5,'SWB-Lists'!$A:$C,3,0),0)=0,"NA",VLOOKUP($D12,'Raw Data'!$B:$CQ,VLOOKUP('SWB CaseList'!S$5,'SWB-Lists'!$A:$C,3,0),0)),"NA")</f>
        <v>NA</v>
      </c>
      <c r="T12" s="16" t="str">
        <f aca="false">IFERROR(IF(VLOOKUP($D12,'Raw Data'!$B:$CQ,VLOOKUP('SWB CaseList'!T$5,'SWB-Lists'!$A:$C,3,0),0)=0,"NA",VLOOKUP($D12,'Raw Data'!$B:$CQ,VLOOKUP('SWB CaseList'!T$5,'SWB-Lists'!$A:$C,3,0),0)),"NA")</f>
        <v>NA</v>
      </c>
      <c r="U12" s="16" t="str">
        <f aca="false">IFERROR(IF(VLOOKUP($D12,'Raw Data'!$B:$CQ,VLOOKUP('SWB CaseList'!U$5,'SWB-Lists'!$A:$C,3,0),0)=0,"NA",VLOOKUP($D12,'Raw Data'!$B:$CQ,VLOOKUP('SWB CaseList'!U$5,'SWB-Lists'!$A:$C,3,0),0)),"NA")</f>
        <v>NA</v>
      </c>
      <c r="V12" s="16" t="str">
        <f aca="false">IFERROR(IF(VLOOKUP($D12,'Raw Data'!$B:$CQ,VLOOKUP('SWB CaseList'!V$5,'SWB-Lists'!$A:$C,3,0),0)=0,"NA",VLOOKUP($D12,'Raw Data'!$B:$CQ,VLOOKUP('SWB CaseList'!V$5,'SWB-Lists'!$A:$C,3,0),0)),"NA")</f>
        <v>NA</v>
      </c>
      <c r="W12" s="16" t="str">
        <f aca="false">IFERROR(IF(VLOOKUP($D12,'Raw Data'!$B:$CQ,VLOOKUP('SWB CaseList'!W$5,'SWB-Lists'!$A:$C,3,0),0)=0,"NA",VLOOKUP($D12,'Raw Data'!$B:$CQ,VLOOKUP('SWB CaseList'!W$5,'SWB-Lists'!$A:$C,3,0),0)),"NA")</f>
        <v>NA</v>
      </c>
      <c r="X12" s="16" t="str">
        <f aca="false">IFERROR(IF(VLOOKUP($D12,'Raw Data'!$B:$CQ,VLOOKUP('SWB CaseList'!X$5,'SWB-Lists'!$A:$C,3,0),0)=0,"NA",VLOOKUP($D12,'Raw Data'!$B:$CQ,VLOOKUP('SWB CaseList'!X$5,'SWB-Lists'!$A:$C,3,0),0)),"NA")</f>
        <v>NA</v>
      </c>
      <c r="Y12" s="16" t="str">
        <f aca="false">IFERROR(IF(VLOOKUP($D12,'Raw Data'!$B:$CQ,VLOOKUP('SWB CaseList'!Y$5,'SWB-Lists'!$A:$C,3,0),0)=0,"NA",VLOOKUP($D12,'Raw Data'!$B:$CQ,VLOOKUP('SWB CaseList'!Y$5,'SWB-Lists'!$A:$C,3,0),0)),"NA")</f>
        <v>NA</v>
      </c>
      <c r="Z12" s="1" t="str">
        <f aca="false">IF($D12="","",IF(OR($J12="",$J12="NA"),"Sin datos",IF(OR(ISNUMBER(SEARCH("Chihuahua",$J12)),ISNUMBER(SEARCH("Coahuila",$J12)),ISNUMBER(SEARCH("Baja California Norte",$J12)),ISNUMBER(SEARCH("Nuevo Leon",$J12)),ISNUMBER(SEARCH("Nuevo León",$J12)),ISNUMBER(SEARCH("Tamaulipas",$J12)),ISNUMBER(SEARCH("Sonora",$J12))),"OK - Frontera","Revisar: State no es Frontera")))</f>
        <v>Sin datos</v>
      </c>
    </row>
    <row r="13" customFormat="false" ht="14.25" hidden="false" customHeight="true" outlineLevel="0" collapsed="false">
      <c r="A13" s="13"/>
      <c r="B13" s="14" t="s">
        <v>367</v>
      </c>
      <c r="C13" s="14" t="s">
        <v>47</v>
      </c>
      <c r="D13" s="45" t="n">
        <v>12389271</v>
      </c>
      <c r="E13" s="17" t="str">
        <f aca="false">IFERROR(IF(VLOOKUP($D13,'Raw Data'!$B:$CQ,VLOOKUP('SWB CaseList'!E$5,'SWB-Lists'!$A:$C,3,0),0)=0,"NA",VLOOKUP($D13,'Raw Data'!$B:$CQ,VLOOKUP('SWB CaseList'!E$5,'SWB-Lists'!$A:$C,3,0),0)),"NA")</f>
        <v>NA</v>
      </c>
      <c r="F13" s="46" t="s">
        <v>48</v>
      </c>
      <c r="G13" s="16" t="str">
        <f aca="false">IFERROR(IF(VLOOKUP($D13,'Raw Data'!$B:$CQ,VLOOKUP('SWB CaseList'!G$5,'SWB-Lists'!$A:$C,3,0),0)=0,"NA",VLOOKUP($D13,'Raw Data'!$B:$CQ,VLOOKUP('SWB CaseList'!G$5,'SWB-Lists'!$A:$C,3,0),0)),"NA")</f>
        <v>NA</v>
      </c>
      <c r="H13" s="16" t="str">
        <f aca="false">IFERROR(IF(VLOOKUP($D13,'Raw Data'!$B:$CQ,VLOOKUP('SWB CaseList'!H$5,'SWB-Lists'!$A:$C,3,0),0)=0,"NA",VLOOKUP($D13,'Raw Data'!$B:$CQ,VLOOKUP('SWB CaseList'!H$5,'SWB-Lists'!$A:$C,3,0),0)),"NA")</f>
        <v>NA</v>
      </c>
      <c r="I13" s="16" t="str">
        <f aca="false">IFERROR(IF(VLOOKUP($D13,'Raw Data'!$B:$CQ,VLOOKUP('SWB CaseList'!I$5,'SWB-Lists'!$A:$C,3,0),0)=0,"NA",VLOOKUP($D13,'Raw Data'!$B:$CQ,VLOOKUP('SWB CaseList'!I$5,'SWB-Lists'!$A:$C,3,0),0)),"NA")</f>
        <v>NA</v>
      </c>
      <c r="J13" s="16" t="str">
        <f aca="false">IFERROR(IF(VLOOKUP($D13,'Raw Data'!$B:$CQ,VLOOKUP('SWB CaseList'!J$5,'SWB-Lists'!$A:$C,3,0),0)=0,"NA",VLOOKUP($D13,'Raw Data'!$B:$CQ,VLOOKUP('SWB CaseList'!J$5,'SWB-Lists'!$A:$C,3,0),0)),"NA")</f>
        <v>NA</v>
      </c>
      <c r="K13" s="16" t="str">
        <f aca="false">IFERROR(IF(VLOOKUP($D13,'Raw Data'!$B:$CQ,VLOOKUP('SWB CaseList'!K$5,'SWB-Lists'!$A:$C,3,0),0)=0,"NA",VLOOKUP($D13,'Raw Data'!$B:$CQ,VLOOKUP('SWB CaseList'!K$5,'SWB-Lists'!$A:$C,3,0),0)),"NA")</f>
        <v>NA</v>
      </c>
      <c r="L13" s="16" t="str">
        <f aca="false">IFERROR(IF(VLOOKUP($D13,'Raw Data'!$B:$CQ,VLOOKUP('SWB CaseList'!L$5,'SWB-Lists'!$A:$C,3,0),0)=0,"NA",VLOOKUP($D13,'Raw Data'!$B:$CQ,VLOOKUP('SWB CaseList'!L$5,'SWB-Lists'!$A:$C,3,0),0)),"NA")</f>
        <v>NA</v>
      </c>
      <c r="M13" s="16" t="str">
        <f aca="false">IFERROR(IF(VLOOKUP($D13,'Raw Data'!$B:$CQ,VLOOKUP('SWB CaseList'!M$5,'SWB-Lists'!$A:$C,3,0),0)=0,"NA",VLOOKUP($D13,'Raw Data'!$B:$CQ,VLOOKUP('SWB CaseList'!M$5,'SWB-Lists'!$A:$C,3,0),0)),"NA")</f>
        <v>NA</v>
      </c>
      <c r="N13" s="47" t="str">
        <f aca="false">IFERROR(IF(VLOOKUP($D13,'Raw Data'!$B:$CQ,VLOOKUP('SWB CaseList'!N$5,'SWB-Lists'!$A:$C,3,0),0)=0,"NA",VLOOKUP($D13,'Raw Data'!$B:$CQ,VLOOKUP('SWB CaseList'!N$5,'SWB-Lists'!$A:$C,3,0),0)),"NA")</f>
        <v>NA</v>
      </c>
      <c r="O13" s="48" t="str">
        <f aca="false">IFERROR(IF(VLOOKUP($D13,'Raw Data'!$B:$CQ,VLOOKUP('SWB CaseList'!O$5,'SWB-Lists'!$A:$C,3,0),0)=0,"NA",VLOOKUP($D13,'Raw Data'!$B:$CQ,VLOOKUP('SWB CaseList'!O$5,'SWB-Lists'!$A:$C,3,0),0)),"NA")</f>
        <v>NA</v>
      </c>
      <c r="P13" s="49" t="str">
        <f aca="false">IFERROR(IF(VLOOKUP($D13,'Raw Data'!$B:$CQ,VLOOKUP('SWB CaseList'!P$5,'SWB-Lists'!$A:$C,3,0),0)=0,"NA",VLOOKUP($D13,'Raw Data'!$B:$CQ,VLOOKUP('SWB CaseList'!P$5,'SWB-Lists'!$A:$C,3,0),0)),"NA")</f>
        <v>NA</v>
      </c>
      <c r="Q13" s="16" t="str">
        <f aca="false">IFERROR(IF(VLOOKUP($D13,'Raw Data'!$B:$CQ,VLOOKUP('SWB CaseList'!Q$5,'SWB-Lists'!$A:$C,3,0),0)=0,"NA",VLOOKUP($D13,'Raw Data'!$B:$CQ,VLOOKUP('SWB CaseList'!Q$5,'SWB-Lists'!$A:$C,3,0),0)),"NA")</f>
        <v>NA</v>
      </c>
      <c r="R13" s="16" t="str">
        <f aca="false">IFERROR(IF(VLOOKUP($D13,'Raw Data'!$B:$CQ,VLOOKUP('SWB CaseList'!R$5,'SWB-Lists'!$A:$C,3,0),0)=0,"NA",VLOOKUP($D13,'Raw Data'!$B:$CQ,VLOOKUP('SWB CaseList'!R$5,'SWB-Lists'!$A:$C,3,0),0)),"NA")</f>
        <v>NA</v>
      </c>
      <c r="S13" s="16" t="str">
        <f aca="false">IFERROR(IF(VLOOKUP($D13,'Raw Data'!$B:$CQ,VLOOKUP('SWB CaseList'!S$5,'SWB-Lists'!$A:$C,3,0),0)=0,"NA",VLOOKUP($D13,'Raw Data'!$B:$CQ,VLOOKUP('SWB CaseList'!S$5,'SWB-Lists'!$A:$C,3,0),0)),"NA")</f>
        <v>NA</v>
      </c>
      <c r="T13" s="16" t="str">
        <f aca="false">IFERROR(IF(VLOOKUP($D13,'Raw Data'!$B:$CQ,VLOOKUP('SWB CaseList'!T$5,'SWB-Lists'!$A:$C,3,0),0)=0,"NA",VLOOKUP($D13,'Raw Data'!$B:$CQ,VLOOKUP('SWB CaseList'!T$5,'SWB-Lists'!$A:$C,3,0),0)),"NA")</f>
        <v>NA</v>
      </c>
      <c r="U13" s="16" t="str">
        <f aca="false">IFERROR(IF(VLOOKUP($D13,'Raw Data'!$B:$CQ,VLOOKUP('SWB CaseList'!U$5,'SWB-Lists'!$A:$C,3,0),0)=0,"NA",VLOOKUP($D13,'Raw Data'!$B:$CQ,VLOOKUP('SWB CaseList'!U$5,'SWB-Lists'!$A:$C,3,0),0)),"NA")</f>
        <v>NA</v>
      </c>
      <c r="V13" s="16" t="str">
        <f aca="false">IFERROR(IF(VLOOKUP($D13,'Raw Data'!$B:$CQ,VLOOKUP('SWB CaseList'!V$5,'SWB-Lists'!$A:$C,3,0),0)=0,"NA",VLOOKUP($D13,'Raw Data'!$B:$CQ,VLOOKUP('SWB CaseList'!V$5,'SWB-Lists'!$A:$C,3,0),0)),"NA")</f>
        <v>NA</v>
      </c>
      <c r="W13" s="16" t="str">
        <f aca="false">IFERROR(IF(VLOOKUP($D13,'Raw Data'!$B:$CQ,VLOOKUP('SWB CaseList'!W$5,'SWB-Lists'!$A:$C,3,0),0)=0,"NA",VLOOKUP($D13,'Raw Data'!$B:$CQ,VLOOKUP('SWB CaseList'!W$5,'SWB-Lists'!$A:$C,3,0),0)),"NA")</f>
        <v>NA</v>
      </c>
      <c r="X13" s="16" t="str">
        <f aca="false">IFERROR(IF(VLOOKUP($D13,'Raw Data'!$B:$CQ,VLOOKUP('SWB CaseList'!X$5,'SWB-Lists'!$A:$C,3,0),0)=0,"NA",VLOOKUP($D13,'Raw Data'!$B:$CQ,VLOOKUP('SWB CaseList'!X$5,'SWB-Lists'!$A:$C,3,0),0)),"NA")</f>
        <v>NA</v>
      </c>
      <c r="Y13" s="16" t="str">
        <f aca="false">IFERROR(IF(VLOOKUP($D13,'Raw Data'!$B:$CQ,VLOOKUP('SWB CaseList'!Y$5,'SWB-Lists'!$A:$C,3,0),0)=0,"NA",VLOOKUP($D13,'Raw Data'!$B:$CQ,VLOOKUP('SWB CaseList'!Y$5,'SWB-Lists'!$A:$C,3,0),0)),"NA")</f>
        <v>NA</v>
      </c>
      <c r="Z13" s="1" t="str">
        <f aca="false">IF($D13="","",IF(OR($J13="",$J13="NA"),"Sin datos",IF(OR(ISNUMBER(SEARCH("Chihuahua",$J13)),ISNUMBER(SEARCH("Coahuila",$J13)),ISNUMBER(SEARCH("Baja California Norte",$J13)),ISNUMBER(SEARCH("Nuevo Leon",$J13)),ISNUMBER(SEARCH("Nuevo León",$J13)),ISNUMBER(SEARCH("Tamaulipas",$J13)),ISNUMBER(SEARCH("Sonora",$J13))),"OK - Frontera","Revisar: State no es Frontera")))</f>
        <v>Sin datos</v>
      </c>
    </row>
    <row r="14" customFormat="false" ht="14.25" hidden="false" customHeight="true" outlineLevel="0" collapsed="false">
      <c r="A14" s="13"/>
      <c r="B14" s="14" t="s">
        <v>367</v>
      </c>
      <c r="C14" s="14" t="s">
        <v>47</v>
      </c>
      <c r="D14" s="45" t="n">
        <v>12394309</v>
      </c>
      <c r="E14" s="17" t="str">
        <f aca="false">IFERROR(IF(VLOOKUP($D14,'Raw Data'!$B:$CQ,VLOOKUP('SWB CaseList'!E$5,'SWB-Lists'!$A:$C,3,0),0)=0,"NA",VLOOKUP($D14,'Raw Data'!$B:$CQ,VLOOKUP('SWB CaseList'!E$5,'SWB-Lists'!$A:$C,3,0),0)),"NA")</f>
        <v>NA</v>
      </c>
      <c r="F14" s="46" t="s">
        <v>48</v>
      </c>
      <c r="G14" s="16" t="str">
        <f aca="false">IFERROR(IF(VLOOKUP($D14,'Raw Data'!$B:$CQ,VLOOKUP('SWB CaseList'!G$5,'SWB-Lists'!$A:$C,3,0),0)=0,"NA",VLOOKUP($D14,'Raw Data'!$B:$CQ,VLOOKUP('SWB CaseList'!G$5,'SWB-Lists'!$A:$C,3,0),0)),"NA")</f>
        <v>NA</v>
      </c>
      <c r="H14" s="16" t="str">
        <f aca="false">IFERROR(IF(VLOOKUP($D14,'Raw Data'!$B:$CQ,VLOOKUP('SWB CaseList'!H$5,'SWB-Lists'!$A:$C,3,0),0)=0,"NA",VLOOKUP($D14,'Raw Data'!$B:$CQ,VLOOKUP('SWB CaseList'!H$5,'SWB-Lists'!$A:$C,3,0),0)),"NA")</f>
        <v>NA</v>
      </c>
      <c r="I14" s="16" t="str">
        <f aca="false">IFERROR(IF(VLOOKUP($D14,'Raw Data'!$B:$CQ,VLOOKUP('SWB CaseList'!I$5,'SWB-Lists'!$A:$C,3,0),0)=0,"NA",VLOOKUP($D14,'Raw Data'!$B:$CQ,VLOOKUP('SWB CaseList'!I$5,'SWB-Lists'!$A:$C,3,0),0)),"NA")</f>
        <v>NA</v>
      </c>
      <c r="J14" s="16" t="str">
        <f aca="false">IFERROR(IF(VLOOKUP($D14,'Raw Data'!$B:$CQ,VLOOKUP('SWB CaseList'!J$5,'SWB-Lists'!$A:$C,3,0),0)=0,"NA",VLOOKUP($D14,'Raw Data'!$B:$CQ,VLOOKUP('SWB CaseList'!J$5,'SWB-Lists'!$A:$C,3,0),0)),"NA")</f>
        <v>NA</v>
      </c>
      <c r="K14" s="16" t="str">
        <f aca="false">IFERROR(IF(VLOOKUP($D14,'Raw Data'!$B:$CQ,VLOOKUP('SWB CaseList'!K$5,'SWB-Lists'!$A:$C,3,0),0)=0,"NA",VLOOKUP($D14,'Raw Data'!$B:$CQ,VLOOKUP('SWB CaseList'!K$5,'SWB-Lists'!$A:$C,3,0),0)),"NA")</f>
        <v>NA</v>
      </c>
      <c r="L14" s="16" t="str">
        <f aca="false">IFERROR(IF(VLOOKUP($D14,'Raw Data'!$B:$CQ,VLOOKUP('SWB CaseList'!L$5,'SWB-Lists'!$A:$C,3,0),0)=0,"NA",VLOOKUP($D14,'Raw Data'!$B:$CQ,VLOOKUP('SWB CaseList'!L$5,'SWB-Lists'!$A:$C,3,0),0)),"NA")</f>
        <v>NA</v>
      </c>
      <c r="M14" s="16" t="str">
        <f aca="false">IFERROR(IF(VLOOKUP($D14,'Raw Data'!$B:$CQ,VLOOKUP('SWB CaseList'!M$5,'SWB-Lists'!$A:$C,3,0),0)=0,"NA",VLOOKUP($D14,'Raw Data'!$B:$CQ,VLOOKUP('SWB CaseList'!M$5,'SWB-Lists'!$A:$C,3,0),0)),"NA")</f>
        <v>NA</v>
      </c>
      <c r="N14" s="47" t="str">
        <f aca="false">IFERROR(IF(VLOOKUP($D14,'Raw Data'!$B:$CQ,VLOOKUP('SWB CaseList'!N$5,'SWB-Lists'!$A:$C,3,0),0)=0,"NA",VLOOKUP($D14,'Raw Data'!$B:$CQ,VLOOKUP('SWB CaseList'!N$5,'SWB-Lists'!$A:$C,3,0),0)),"NA")</f>
        <v>NA</v>
      </c>
      <c r="O14" s="48" t="str">
        <f aca="false">IFERROR(IF(VLOOKUP($D14,'Raw Data'!$B:$CQ,VLOOKUP('SWB CaseList'!O$5,'SWB-Lists'!$A:$C,3,0),0)=0,"NA",VLOOKUP($D14,'Raw Data'!$B:$CQ,VLOOKUP('SWB CaseList'!O$5,'SWB-Lists'!$A:$C,3,0),0)),"NA")</f>
        <v>NA</v>
      </c>
      <c r="P14" s="49" t="str">
        <f aca="false">IFERROR(IF(VLOOKUP($D14,'Raw Data'!$B:$CQ,VLOOKUP('SWB CaseList'!P$5,'SWB-Lists'!$A:$C,3,0),0)=0,"NA",VLOOKUP($D14,'Raw Data'!$B:$CQ,VLOOKUP('SWB CaseList'!P$5,'SWB-Lists'!$A:$C,3,0),0)),"NA")</f>
        <v>NA</v>
      </c>
      <c r="Q14" s="16" t="str">
        <f aca="false">IFERROR(IF(VLOOKUP($D14,'Raw Data'!$B:$CQ,VLOOKUP('SWB CaseList'!Q$5,'SWB-Lists'!$A:$C,3,0),0)=0,"NA",VLOOKUP($D14,'Raw Data'!$B:$CQ,VLOOKUP('SWB CaseList'!Q$5,'SWB-Lists'!$A:$C,3,0),0)),"NA")</f>
        <v>NA</v>
      </c>
      <c r="R14" s="16" t="str">
        <f aca="false">IFERROR(IF(VLOOKUP($D14,'Raw Data'!$B:$CQ,VLOOKUP('SWB CaseList'!R$5,'SWB-Lists'!$A:$C,3,0),0)=0,"NA",VLOOKUP($D14,'Raw Data'!$B:$CQ,VLOOKUP('SWB CaseList'!R$5,'SWB-Lists'!$A:$C,3,0),0)),"NA")</f>
        <v>NA</v>
      </c>
      <c r="S14" s="16" t="str">
        <f aca="false">IFERROR(IF(VLOOKUP($D14,'Raw Data'!$B:$CQ,VLOOKUP('SWB CaseList'!S$5,'SWB-Lists'!$A:$C,3,0),0)=0,"NA",VLOOKUP($D14,'Raw Data'!$B:$CQ,VLOOKUP('SWB CaseList'!S$5,'SWB-Lists'!$A:$C,3,0),0)),"NA")</f>
        <v>NA</v>
      </c>
      <c r="T14" s="16" t="str">
        <f aca="false">IFERROR(IF(VLOOKUP($D14,'Raw Data'!$B:$CQ,VLOOKUP('SWB CaseList'!T$5,'SWB-Lists'!$A:$C,3,0),0)=0,"NA",VLOOKUP($D14,'Raw Data'!$B:$CQ,VLOOKUP('SWB CaseList'!T$5,'SWB-Lists'!$A:$C,3,0),0)),"NA")</f>
        <v>NA</v>
      </c>
      <c r="U14" s="16" t="str">
        <f aca="false">IFERROR(IF(VLOOKUP($D14,'Raw Data'!$B:$CQ,VLOOKUP('SWB CaseList'!U$5,'SWB-Lists'!$A:$C,3,0),0)=0,"NA",VLOOKUP($D14,'Raw Data'!$B:$CQ,VLOOKUP('SWB CaseList'!U$5,'SWB-Lists'!$A:$C,3,0),0)),"NA")</f>
        <v>NA</v>
      </c>
      <c r="V14" s="16" t="str">
        <f aca="false">IFERROR(IF(VLOOKUP($D14,'Raw Data'!$B:$CQ,VLOOKUP('SWB CaseList'!V$5,'SWB-Lists'!$A:$C,3,0),0)=0,"NA",VLOOKUP($D14,'Raw Data'!$B:$CQ,VLOOKUP('SWB CaseList'!V$5,'SWB-Lists'!$A:$C,3,0),0)),"NA")</f>
        <v>NA</v>
      </c>
      <c r="W14" s="16" t="str">
        <f aca="false">IFERROR(IF(VLOOKUP($D14,'Raw Data'!$B:$CQ,VLOOKUP('SWB CaseList'!W$5,'SWB-Lists'!$A:$C,3,0),0)=0,"NA",VLOOKUP($D14,'Raw Data'!$B:$CQ,VLOOKUP('SWB CaseList'!W$5,'SWB-Lists'!$A:$C,3,0),0)),"NA")</f>
        <v>NA</v>
      </c>
      <c r="X14" s="16" t="str">
        <f aca="false">IFERROR(IF(VLOOKUP($D14,'Raw Data'!$B:$CQ,VLOOKUP('SWB CaseList'!X$5,'SWB-Lists'!$A:$C,3,0),0)=0,"NA",VLOOKUP($D14,'Raw Data'!$B:$CQ,VLOOKUP('SWB CaseList'!X$5,'SWB-Lists'!$A:$C,3,0),0)),"NA")</f>
        <v>NA</v>
      </c>
      <c r="Y14" s="16" t="str">
        <f aca="false">IFERROR(IF(VLOOKUP($D14,'Raw Data'!$B:$CQ,VLOOKUP('SWB CaseList'!Y$5,'SWB-Lists'!$A:$C,3,0),0)=0,"NA",VLOOKUP($D14,'Raw Data'!$B:$CQ,VLOOKUP('SWB CaseList'!Y$5,'SWB-Lists'!$A:$C,3,0),0)),"NA")</f>
        <v>NA</v>
      </c>
      <c r="Z14" s="1" t="str">
        <f aca="false">IF($D14="","",IF(OR($J14="",$J14="NA"),"Sin datos",IF(OR(ISNUMBER(SEARCH("Chihuahua",$J14)),ISNUMBER(SEARCH("Coahuila",$J14)),ISNUMBER(SEARCH("Baja California Norte",$J14)),ISNUMBER(SEARCH("Nuevo Leon",$J14)),ISNUMBER(SEARCH("Nuevo León",$J14)),ISNUMBER(SEARCH("Tamaulipas",$J14)),ISNUMBER(SEARCH("Sonora",$J14))),"OK - Frontera","Revisar: State no es Frontera")))</f>
        <v>Sin datos</v>
      </c>
    </row>
    <row r="15" customFormat="false" ht="14.25" hidden="false" customHeight="true" outlineLevel="0" collapsed="false">
      <c r="A15" s="13"/>
      <c r="B15" s="14" t="s">
        <v>367</v>
      </c>
      <c r="C15" s="14" t="s">
        <v>47</v>
      </c>
      <c r="D15" s="45" t="n">
        <v>12394307</v>
      </c>
      <c r="E15" s="17" t="str">
        <f aca="false">IFERROR(IF(VLOOKUP($D15,'Raw Data'!$B:$CQ,VLOOKUP('SWB CaseList'!E$5,'SWB-Lists'!$A:$C,3,0),0)=0,"NA",VLOOKUP($D15,'Raw Data'!$B:$CQ,VLOOKUP('SWB CaseList'!E$5,'SWB-Lists'!$A:$C,3,0),0)),"NA")</f>
        <v>NA</v>
      </c>
      <c r="F15" s="46" t="s">
        <v>48</v>
      </c>
      <c r="G15" s="16" t="str">
        <f aca="false">IFERROR(IF(VLOOKUP($D15,'Raw Data'!$B:$CQ,VLOOKUP('SWB CaseList'!G$5,'SWB-Lists'!$A:$C,3,0),0)=0,"NA",VLOOKUP($D15,'Raw Data'!$B:$CQ,VLOOKUP('SWB CaseList'!G$5,'SWB-Lists'!$A:$C,3,0),0)),"NA")</f>
        <v>NA</v>
      </c>
      <c r="H15" s="16" t="str">
        <f aca="false">IFERROR(IF(VLOOKUP($D15,'Raw Data'!$B:$CQ,VLOOKUP('SWB CaseList'!H$5,'SWB-Lists'!$A:$C,3,0),0)=0,"NA",VLOOKUP($D15,'Raw Data'!$B:$CQ,VLOOKUP('SWB CaseList'!H$5,'SWB-Lists'!$A:$C,3,0),0)),"NA")</f>
        <v>NA</v>
      </c>
      <c r="I15" s="16" t="str">
        <f aca="false">IFERROR(IF(VLOOKUP($D15,'Raw Data'!$B:$CQ,VLOOKUP('SWB CaseList'!I$5,'SWB-Lists'!$A:$C,3,0),0)=0,"NA",VLOOKUP($D15,'Raw Data'!$B:$CQ,VLOOKUP('SWB CaseList'!I$5,'SWB-Lists'!$A:$C,3,0),0)),"NA")</f>
        <v>NA</v>
      </c>
      <c r="J15" s="16" t="str">
        <f aca="false">IFERROR(IF(VLOOKUP($D15,'Raw Data'!$B:$CQ,VLOOKUP('SWB CaseList'!J$5,'SWB-Lists'!$A:$C,3,0),0)=0,"NA",VLOOKUP($D15,'Raw Data'!$B:$CQ,VLOOKUP('SWB CaseList'!J$5,'SWB-Lists'!$A:$C,3,0),0)),"NA")</f>
        <v>NA</v>
      </c>
      <c r="K15" s="16" t="str">
        <f aca="false">IFERROR(IF(VLOOKUP($D15,'Raw Data'!$B:$CQ,VLOOKUP('SWB CaseList'!K$5,'SWB-Lists'!$A:$C,3,0),0)=0,"NA",VLOOKUP($D15,'Raw Data'!$B:$CQ,VLOOKUP('SWB CaseList'!K$5,'SWB-Lists'!$A:$C,3,0),0)),"NA")</f>
        <v>NA</v>
      </c>
      <c r="L15" s="16" t="str">
        <f aca="false">IFERROR(IF(VLOOKUP($D15,'Raw Data'!$B:$CQ,VLOOKUP('SWB CaseList'!L$5,'SWB-Lists'!$A:$C,3,0),0)=0,"NA",VLOOKUP($D15,'Raw Data'!$B:$CQ,VLOOKUP('SWB CaseList'!L$5,'SWB-Lists'!$A:$C,3,0),0)),"NA")</f>
        <v>NA</v>
      </c>
      <c r="M15" s="16" t="str">
        <f aca="false">IFERROR(IF(VLOOKUP($D15,'Raw Data'!$B:$CQ,VLOOKUP('SWB CaseList'!M$5,'SWB-Lists'!$A:$C,3,0),0)=0,"NA",VLOOKUP($D15,'Raw Data'!$B:$CQ,VLOOKUP('SWB CaseList'!M$5,'SWB-Lists'!$A:$C,3,0),0)),"NA")</f>
        <v>NA</v>
      </c>
      <c r="N15" s="47" t="str">
        <f aca="false">IFERROR(IF(VLOOKUP($D15,'Raw Data'!$B:$CQ,VLOOKUP('SWB CaseList'!N$5,'SWB-Lists'!$A:$C,3,0),0)=0,"NA",VLOOKUP($D15,'Raw Data'!$B:$CQ,VLOOKUP('SWB CaseList'!N$5,'SWB-Lists'!$A:$C,3,0),0)),"NA")</f>
        <v>NA</v>
      </c>
      <c r="O15" s="48" t="str">
        <f aca="false">IFERROR(IF(VLOOKUP($D15,'Raw Data'!$B:$CQ,VLOOKUP('SWB CaseList'!O$5,'SWB-Lists'!$A:$C,3,0),0)=0,"NA",VLOOKUP($D15,'Raw Data'!$B:$CQ,VLOOKUP('SWB CaseList'!O$5,'SWB-Lists'!$A:$C,3,0),0)),"NA")</f>
        <v>NA</v>
      </c>
      <c r="P15" s="49" t="str">
        <f aca="false">IFERROR(IF(VLOOKUP($D15,'Raw Data'!$B:$CQ,VLOOKUP('SWB CaseList'!P$5,'SWB-Lists'!$A:$C,3,0),0)=0,"NA",VLOOKUP($D15,'Raw Data'!$B:$CQ,VLOOKUP('SWB CaseList'!P$5,'SWB-Lists'!$A:$C,3,0),0)),"NA")</f>
        <v>NA</v>
      </c>
      <c r="Q15" s="16" t="str">
        <f aca="false">IFERROR(IF(VLOOKUP($D15,'Raw Data'!$B:$CQ,VLOOKUP('SWB CaseList'!Q$5,'SWB-Lists'!$A:$C,3,0),0)=0,"NA",VLOOKUP($D15,'Raw Data'!$B:$CQ,VLOOKUP('SWB CaseList'!Q$5,'SWB-Lists'!$A:$C,3,0),0)),"NA")</f>
        <v>NA</v>
      </c>
      <c r="R15" s="16" t="str">
        <f aca="false">IFERROR(IF(VLOOKUP($D15,'Raw Data'!$B:$CQ,VLOOKUP('SWB CaseList'!R$5,'SWB-Lists'!$A:$C,3,0),0)=0,"NA",VLOOKUP($D15,'Raw Data'!$B:$CQ,VLOOKUP('SWB CaseList'!R$5,'SWB-Lists'!$A:$C,3,0),0)),"NA")</f>
        <v>NA</v>
      </c>
      <c r="S15" s="16" t="str">
        <f aca="false">IFERROR(IF(VLOOKUP($D15,'Raw Data'!$B:$CQ,VLOOKUP('SWB CaseList'!S$5,'SWB-Lists'!$A:$C,3,0),0)=0,"NA",VLOOKUP($D15,'Raw Data'!$B:$CQ,VLOOKUP('SWB CaseList'!S$5,'SWB-Lists'!$A:$C,3,0),0)),"NA")</f>
        <v>NA</v>
      </c>
      <c r="T15" s="16" t="str">
        <f aca="false">IFERROR(IF(VLOOKUP($D15,'Raw Data'!$B:$CQ,VLOOKUP('SWB CaseList'!T$5,'SWB-Lists'!$A:$C,3,0),0)=0,"NA",VLOOKUP($D15,'Raw Data'!$B:$CQ,VLOOKUP('SWB CaseList'!T$5,'SWB-Lists'!$A:$C,3,0),0)),"NA")</f>
        <v>NA</v>
      </c>
      <c r="U15" s="16" t="str">
        <f aca="false">IFERROR(IF(VLOOKUP($D15,'Raw Data'!$B:$CQ,VLOOKUP('SWB CaseList'!U$5,'SWB-Lists'!$A:$C,3,0),0)=0,"NA",VLOOKUP($D15,'Raw Data'!$B:$CQ,VLOOKUP('SWB CaseList'!U$5,'SWB-Lists'!$A:$C,3,0),0)),"NA")</f>
        <v>NA</v>
      </c>
      <c r="V15" s="16" t="str">
        <f aca="false">IFERROR(IF(VLOOKUP($D15,'Raw Data'!$B:$CQ,VLOOKUP('SWB CaseList'!V$5,'SWB-Lists'!$A:$C,3,0),0)=0,"NA",VLOOKUP($D15,'Raw Data'!$B:$CQ,VLOOKUP('SWB CaseList'!V$5,'SWB-Lists'!$A:$C,3,0),0)),"NA")</f>
        <v>NA</v>
      </c>
      <c r="W15" s="16" t="str">
        <f aca="false">IFERROR(IF(VLOOKUP($D15,'Raw Data'!$B:$CQ,VLOOKUP('SWB CaseList'!W$5,'SWB-Lists'!$A:$C,3,0),0)=0,"NA",VLOOKUP($D15,'Raw Data'!$B:$CQ,VLOOKUP('SWB CaseList'!W$5,'SWB-Lists'!$A:$C,3,0),0)),"NA")</f>
        <v>NA</v>
      </c>
      <c r="X15" s="16" t="str">
        <f aca="false">IFERROR(IF(VLOOKUP($D15,'Raw Data'!$B:$CQ,VLOOKUP('SWB CaseList'!X$5,'SWB-Lists'!$A:$C,3,0),0)=0,"NA",VLOOKUP($D15,'Raw Data'!$B:$CQ,VLOOKUP('SWB CaseList'!X$5,'SWB-Lists'!$A:$C,3,0),0)),"NA")</f>
        <v>NA</v>
      </c>
      <c r="Y15" s="16" t="str">
        <f aca="false">IFERROR(IF(VLOOKUP($D15,'Raw Data'!$B:$CQ,VLOOKUP('SWB CaseList'!Y$5,'SWB-Lists'!$A:$C,3,0),0)=0,"NA",VLOOKUP($D15,'Raw Data'!$B:$CQ,VLOOKUP('SWB CaseList'!Y$5,'SWB-Lists'!$A:$C,3,0),0)),"NA")</f>
        <v>NA</v>
      </c>
      <c r="Z15" s="1" t="str">
        <f aca="false">IF($D15="","",IF(OR($J15="",$J15="NA"),"Sin datos",IF(OR(ISNUMBER(SEARCH("Chihuahua",$J15)),ISNUMBER(SEARCH("Coahuila",$J15)),ISNUMBER(SEARCH("Baja California Norte",$J15)),ISNUMBER(SEARCH("Nuevo Leon",$J15)),ISNUMBER(SEARCH("Nuevo León",$J15)),ISNUMBER(SEARCH("Tamaulipas",$J15)),ISNUMBER(SEARCH("Sonora",$J15))),"OK - Frontera","Revisar: State no es Frontera")))</f>
        <v>Sin datos</v>
      </c>
    </row>
    <row r="16" customFormat="false" ht="14.25" hidden="false" customHeight="true" outlineLevel="0" collapsed="false">
      <c r="A16" s="13"/>
      <c r="B16" s="14" t="s">
        <v>367</v>
      </c>
      <c r="C16" s="14" t="s">
        <v>47</v>
      </c>
      <c r="D16" s="45" t="n">
        <v>12389273</v>
      </c>
      <c r="E16" s="17" t="str">
        <f aca="false">IFERROR(IF(VLOOKUP($D16,'Raw Data'!$B:$CQ,VLOOKUP('SWB CaseList'!E$5,'SWB-Lists'!$A:$C,3,0),0)=0,"NA",VLOOKUP($D16,'Raw Data'!$B:$CQ,VLOOKUP('SWB CaseList'!E$5,'SWB-Lists'!$A:$C,3,0),0)),"NA")</f>
        <v>NA</v>
      </c>
      <c r="F16" s="46" t="s">
        <v>48</v>
      </c>
      <c r="G16" s="16" t="str">
        <f aca="false">IFERROR(IF(VLOOKUP($D16,'Raw Data'!$B:$CQ,VLOOKUP('SWB CaseList'!G$5,'SWB-Lists'!$A:$C,3,0),0)=0,"NA",VLOOKUP($D16,'Raw Data'!$B:$CQ,VLOOKUP('SWB CaseList'!G$5,'SWB-Lists'!$A:$C,3,0),0)),"NA")</f>
        <v>NA</v>
      </c>
      <c r="H16" s="16" t="str">
        <f aca="false">IFERROR(IF(VLOOKUP($D16,'Raw Data'!$B:$CQ,VLOOKUP('SWB CaseList'!H$5,'SWB-Lists'!$A:$C,3,0),0)=0,"NA",VLOOKUP($D16,'Raw Data'!$B:$CQ,VLOOKUP('SWB CaseList'!H$5,'SWB-Lists'!$A:$C,3,0),0)),"NA")</f>
        <v>NA</v>
      </c>
      <c r="I16" s="16" t="str">
        <f aca="false">IFERROR(IF(VLOOKUP($D16,'Raw Data'!$B:$CQ,VLOOKUP('SWB CaseList'!I$5,'SWB-Lists'!$A:$C,3,0),0)=0,"NA",VLOOKUP($D16,'Raw Data'!$B:$CQ,VLOOKUP('SWB CaseList'!I$5,'SWB-Lists'!$A:$C,3,0),0)),"NA")</f>
        <v>NA</v>
      </c>
      <c r="J16" s="16" t="str">
        <f aca="false">IFERROR(IF(VLOOKUP($D16,'Raw Data'!$B:$CQ,VLOOKUP('SWB CaseList'!J$5,'SWB-Lists'!$A:$C,3,0),0)=0,"NA",VLOOKUP($D16,'Raw Data'!$B:$CQ,VLOOKUP('SWB CaseList'!J$5,'SWB-Lists'!$A:$C,3,0),0)),"NA")</f>
        <v>NA</v>
      </c>
      <c r="K16" s="16" t="str">
        <f aca="false">IFERROR(IF(VLOOKUP($D16,'Raw Data'!$B:$CQ,VLOOKUP('SWB CaseList'!K$5,'SWB-Lists'!$A:$C,3,0),0)=0,"NA",VLOOKUP($D16,'Raw Data'!$B:$CQ,VLOOKUP('SWB CaseList'!K$5,'SWB-Lists'!$A:$C,3,0),0)),"NA")</f>
        <v>NA</v>
      </c>
      <c r="L16" s="16" t="str">
        <f aca="false">IFERROR(IF(VLOOKUP($D16,'Raw Data'!$B:$CQ,VLOOKUP('SWB CaseList'!L$5,'SWB-Lists'!$A:$C,3,0),0)=0,"NA",VLOOKUP($D16,'Raw Data'!$B:$CQ,VLOOKUP('SWB CaseList'!L$5,'SWB-Lists'!$A:$C,3,0),0)),"NA")</f>
        <v>NA</v>
      </c>
      <c r="M16" s="16" t="str">
        <f aca="false">IFERROR(IF(VLOOKUP($D16,'Raw Data'!$B:$CQ,VLOOKUP('SWB CaseList'!M$5,'SWB-Lists'!$A:$C,3,0),0)=0,"NA",VLOOKUP($D16,'Raw Data'!$B:$CQ,VLOOKUP('SWB CaseList'!M$5,'SWB-Lists'!$A:$C,3,0),0)),"NA")</f>
        <v>NA</v>
      </c>
      <c r="N16" s="47" t="str">
        <f aca="false">IFERROR(IF(VLOOKUP($D16,'Raw Data'!$B:$CQ,VLOOKUP('SWB CaseList'!N$5,'SWB-Lists'!$A:$C,3,0),0)=0,"NA",VLOOKUP($D16,'Raw Data'!$B:$CQ,VLOOKUP('SWB CaseList'!N$5,'SWB-Lists'!$A:$C,3,0),0)),"NA")</f>
        <v>NA</v>
      </c>
      <c r="O16" s="48" t="str">
        <f aca="false">IFERROR(IF(VLOOKUP($D16,'Raw Data'!$B:$CQ,VLOOKUP('SWB CaseList'!O$5,'SWB-Lists'!$A:$C,3,0),0)=0,"NA",VLOOKUP($D16,'Raw Data'!$B:$CQ,VLOOKUP('SWB CaseList'!O$5,'SWB-Lists'!$A:$C,3,0),0)),"NA")</f>
        <v>NA</v>
      </c>
      <c r="P16" s="49" t="str">
        <f aca="false">IFERROR(IF(VLOOKUP($D16,'Raw Data'!$B:$CQ,VLOOKUP('SWB CaseList'!P$5,'SWB-Lists'!$A:$C,3,0),0)=0,"NA",VLOOKUP($D16,'Raw Data'!$B:$CQ,VLOOKUP('SWB CaseList'!P$5,'SWB-Lists'!$A:$C,3,0),0)),"NA")</f>
        <v>NA</v>
      </c>
      <c r="Q16" s="16" t="str">
        <f aca="false">IFERROR(IF(VLOOKUP($D16,'Raw Data'!$B:$CQ,VLOOKUP('SWB CaseList'!Q$5,'SWB-Lists'!$A:$C,3,0),0)=0,"NA",VLOOKUP($D16,'Raw Data'!$B:$CQ,VLOOKUP('SWB CaseList'!Q$5,'SWB-Lists'!$A:$C,3,0),0)),"NA")</f>
        <v>NA</v>
      </c>
      <c r="R16" s="16" t="str">
        <f aca="false">IFERROR(IF(VLOOKUP($D16,'Raw Data'!$B:$CQ,VLOOKUP('SWB CaseList'!R$5,'SWB-Lists'!$A:$C,3,0),0)=0,"NA",VLOOKUP($D16,'Raw Data'!$B:$CQ,VLOOKUP('SWB CaseList'!R$5,'SWB-Lists'!$A:$C,3,0),0)),"NA")</f>
        <v>NA</v>
      </c>
      <c r="S16" s="16" t="str">
        <f aca="false">IFERROR(IF(VLOOKUP($D16,'Raw Data'!$B:$CQ,VLOOKUP('SWB CaseList'!S$5,'SWB-Lists'!$A:$C,3,0),0)=0,"NA",VLOOKUP($D16,'Raw Data'!$B:$CQ,VLOOKUP('SWB CaseList'!S$5,'SWB-Lists'!$A:$C,3,0),0)),"NA")</f>
        <v>NA</v>
      </c>
      <c r="T16" s="16" t="str">
        <f aca="false">IFERROR(IF(VLOOKUP($D16,'Raw Data'!$B:$CQ,VLOOKUP('SWB CaseList'!T$5,'SWB-Lists'!$A:$C,3,0),0)=0,"NA",VLOOKUP($D16,'Raw Data'!$B:$CQ,VLOOKUP('SWB CaseList'!T$5,'SWB-Lists'!$A:$C,3,0),0)),"NA")</f>
        <v>NA</v>
      </c>
      <c r="U16" s="16" t="str">
        <f aca="false">IFERROR(IF(VLOOKUP($D16,'Raw Data'!$B:$CQ,VLOOKUP('SWB CaseList'!U$5,'SWB-Lists'!$A:$C,3,0),0)=0,"NA",VLOOKUP($D16,'Raw Data'!$B:$CQ,VLOOKUP('SWB CaseList'!U$5,'SWB-Lists'!$A:$C,3,0),0)),"NA")</f>
        <v>NA</v>
      </c>
      <c r="V16" s="16" t="str">
        <f aca="false">IFERROR(IF(VLOOKUP($D16,'Raw Data'!$B:$CQ,VLOOKUP('SWB CaseList'!V$5,'SWB-Lists'!$A:$C,3,0),0)=0,"NA",VLOOKUP($D16,'Raw Data'!$B:$CQ,VLOOKUP('SWB CaseList'!V$5,'SWB-Lists'!$A:$C,3,0),0)),"NA")</f>
        <v>NA</v>
      </c>
      <c r="W16" s="16" t="str">
        <f aca="false">IFERROR(IF(VLOOKUP($D16,'Raw Data'!$B:$CQ,VLOOKUP('SWB CaseList'!W$5,'SWB-Lists'!$A:$C,3,0),0)=0,"NA",VLOOKUP($D16,'Raw Data'!$B:$CQ,VLOOKUP('SWB CaseList'!W$5,'SWB-Lists'!$A:$C,3,0),0)),"NA")</f>
        <v>NA</v>
      </c>
      <c r="X16" s="16" t="str">
        <f aca="false">IFERROR(IF(VLOOKUP($D16,'Raw Data'!$B:$CQ,VLOOKUP('SWB CaseList'!X$5,'SWB-Lists'!$A:$C,3,0),0)=0,"NA",VLOOKUP($D16,'Raw Data'!$B:$CQ,VLOOKUP('SWB CaseList'!X$5,'SWB-Lists'!$A:$C,3,0),0)),"NA")</f>
        <v>NA</v>
      </c>
      <c r="Y16" s="16" t="str">
        <f aca="false">IFERROR(IF(VLOOKUP($D16,'Raw Data'!$B:$CQ,VLOOKUP('SWB CaseList'!Y$5,'SWB-Lists'!$A:$C,3,0),0)=0,"NA",VLOOKUP($D16,'Raw Data'!$B:$CQ,VLOOKUP('SWB CaseList'!Y$5,'SWB-Lists'!$A:$C,3,0),0)),"NA")</f>
        <v>NA</v>
      </c>
      <c r="Z16" s="1" t="str">
        <f aca="false">IF($D16="","",IF(OR($J16="",$J16="NA"),"Sin datos",IF(OR(ISNUMBER(SEARCH("Chihuahua",$J16)),ISNUMBER(SEARCH("Coahuila",$J16)),ISNUMBER(SEARCH("Baja California Norte",$J16)),ISNUMBER(SEARCH("Nuevo Leon",$J16)),ISNUMBER(SEARCH("Nuevo León",$J16)),ISNUMBER(SEARCH("Tamaulipas",$J16)),ISNUMBER(SEARCH("Sonora",$J16))),"OK - Frontera","Revisar: State no es Frontera")))</f>
        <v>Sin datos</v>
      </c>
    </row>
    <row r="17" customFormat="false" ht="14.25" hidden="false" customHeight="true" outlineLevel="0" collapsed="false">
      <c r="A17" s="13"/>
      <c r="B17" s="14" t="s">
        <v>367</v>
      </c>
      <c r="C17" s="14" t="s">
        <v>47</v>
      </c>
      <c r="D17" s="45" t="n">
        <v>12394312</v>
      </c>
      <c r="E17" s="17" t="str">
        <f aca="false">IFERROR(IF(VLOOKUP($D17,'Raw Data'!$B:$CQ,VLOOKUP('SWB CaseList'!E$5,'SWB-Lists'!$A:$C,3,0),0)=0,"NA",VLOOKUP($D17,'Raw Data'!$B:$CQ,VLOOKUP('SWB CaseList'!E$5,'SWB-Lists'!$A:$C,3,0),0)),"NA")</f>
        <v>NA</v>
      </c>
      <c r="F17" s="46" t="s">
        <v>48</v>
      </c>
      <c r="G17" s="16" t="str">
        <f aca="false">IFERROR(IF(VLOOKUP($D17,'Raw Data'!$B:$CQ,VLOOKUP('SWB CaseList'!G$5,'SWB-Lists'!$A:$C,3,0),0)=0,"NA",VLOOKUP($D17,'Raw Data'!$B:$CQ,VLOOKUP('SWB CaseList'!G$5,'SWB-Lists'!$A:$C,3,0),0)),"NA")</f>
        <v>NA</v>
      </c>
      <c r="H17" s="16" t="str">
        <f aca="false">IFERROR(IF(VLOOKUP($D17,'Raw Data'!$B:$CQ,VLOOKUP('SWB CaseList'!H$5,'SWB-Lists'!$A:$C,3,0),0)=0,"NA",VLOOKUP($D17,'Raw Data'!$B:$CQ,VLOOKUP('SWB CaseList'!H$5,'SWB-Lists'!$A:$C,3,0),0)),"NA")</f>
        <v>NA</v>
      </c>
      <c r="I17" s="16" t="str">
        <f aca="false">IFERROR(IF(VLOOKUP($D17,'Raw Data'!$B:$CQ,VLOOKUP('SWB CaseList'!I$5,'SWB-Lists'!$A:$C,3,0),0)=0,"NA",VLOOKUP($D17,'Raw Data'!$B:$CQ,VLOOKUP('SWB CaseList'!I$5,'SWB-Lists'!$A:$C,3,0),0)),"NA")</f>
        <v>NA</v>
      </c>
      <c r="J17" s="16" t="str">
        <f aca="false">IFERROR(IF(VLOOKUP($D17,'Raw Data'!$B:$CQ,VLOOKUP('SWB CaseList'!J$5,'SWB-Lists'!$A:$C,3,0),0)=0,"NA",VLOOKUP($D17,'Raw Data'!$B:$CQ,VLOOKUP('SWB CaseList'!J$5,'SWB-Lists'!$A:$C,3,0),0)),"NA")</f>
        <v>NA</v>
      </c>
      <c r="K17" s="16" t="str">
        <f aca="false">IFERROR(IF(VLOOKUP($D17,'Raw Data'!$B:$CQ,VLOOKUP('SWB CaseList'!K$5,'SWB-Lists'!$A:$C,3,0),0)=0,"NA",VLOOKUP($D17,'Raw Data'!$B:$CQ,VLOOKUP('SWB CaseList'!K$5,'SWB-Lists'!$A:$C,3,0),0)),"NA")</f>
        <v>NA</v>
      </c>
      <c r="L17" s="16" t="str">
        <f aca="false">IFERROR(IF(VLOOKUP($D17,'Raw Data'!$B:$CQ,VLOOKUP('SWB CaseList'!L$5,'SWB-Lists'!$A:$C,3,0),0)=0,"NA",VLOOKUP($D17,'Raw Data'!$B:$CQ,VLOOKUP('SWB CaseList'!L$5,'SWB-Lists'!$A:$C,3,0),0)),"NA")</f>
        <v>NA</v>
      </c>
      <c r="M17" s="16" t="str">
        <f aca="false">IFERROR(IF(VLOOKUP($D17,'Raw Data'!$B:$CQ,VLOOKUP('SWB CaseList'!M$5,'SWB-Lists'!$A:$C,3,0),0)=0,"NA",VLOOKUP($D17,'Raw Data'!$B:$CQ,VLOOKUP('SWB CaseList'!M$5,'SWB-Lists'!$A:$C,3,0),0)),"NA")</f>
        <v>NA</v>
      </c>
      <c r="N17" s="47" t="str">
        <f aca="false">IFERROR(IF(VLOOKUP($D17,'Raw Data'!$B:$CQ,VLOOKUP('SWB CaseList'!N$5,'SWB-Lists'!$A:$C,3,0),0)=0,"NA",VLOOKUP($D17,'Raw Data'!$B:$CQ,VLOOKUP('SWB CaseList'!N$5,'SWB-Lists'!$A:$C,3,0),0)),"NA")</f>
        <v>NA</v>
      </c>
      <c r="O17" s="48" t="str">
        <f aca="false">IFERROR(IF(VLOOKUP($D17,'Raw Data'!$B:$CQ,VLOOKUP('SWB CaseList'!O$5,'SWB-Lists'!$A:$C,3,0),0)=0,"NA",VLOOKUP($D17,'Raw Data'!$B:$CQ,VLOOKUP('SWB CaseList'!O$5,'SWB-Lists'!$A:$C,3,0),0)),"NA")</f>
        <v>NA</v>
      </c>
      <c r="P17" s="49" t="str">
        <f aca="false">IFERROR(IF(VLOOKUP($D17,'Raw Data'!$B:$CQ,VLOOKUP('SWB CaseList'!P$5,'SWB-Lists'!$A:$C,3,0),0)=0,"NA",VLOOKUP($D17,'Raw Data'!$B:$CQ,VLOOKUP('SWB CaseList'!P$5,'SWB-Lists'!$A:$C,3,0),0)),"NA")</f>
        <v>NA</v>
      </c>
      <c r="Q17" s="16" t="str">
        <f aca="false">IFERROR(IF(VLOOKUP($D17,'Raw Data'!$B:$CQ,VLOOKUP('SWB CaseList'!Q$5,'SWB-Lists'!$A:$C,3,0),0)=0,"NA",VLOOKUP($D17,'Raw Data'!$B:$CQ,VLOOKUP('SWB CaseList'!Q$5,'SWB-Lists'!$A:$C,3,0),0)),"NA")</f>
        <v>NA</v>
      </c>
      <c r="R17" s="16" t="str">
        <f aca="false">IFERROR(IF(VLOOKUP($D17,'Raw Data'!$B:$CQ,VLOOKUP('SWB CaseList'!R$5,'SWB-Lists'!$A:$C,3,0),0)=0,"NA",VLOOKUP($D17,'Raw Data'!$B:$CQ,VLOOKUP('SWB CaseList'!R$5,'SWB-Lists'!$A:$C,3,0),0)),"NA")</f>
        <v>NA</v>
      </c>
      <c r="S17" s="16" t="str">
        <f aca="false">IFERROR(IF(VLOOKUP($D17,'Raw Data'!$B:$CQ,VLOOKUP('SWB CaseList'!S$5,'SWB-Lists'!$A:$C,3,0),0)=0,"NA",VLOOKUP($D17,'Raw Data'!$B:$CQ,VLOOKUP('SWB CaseList'!S$5,'SWB-Lists'!$A:$C,3,0),0)),"NA")</f>
        <v>NA</v>
      </c>
      <c r="T17" s="16" t="str">
        <f aca="false">IFERROR(IF(VLOOKUP($D17,'Raw Data'!$B:$CQ,VLOOKUP('SWB CaseList'!T$5,'SWB-Lists'!$A:$C,3,0),0)=0,"NA",VLOOKUP($D17,'Raw Data'!$B:$CQ,VLOOKUP('SWB CaseList'!T$5,'SWB-Lists'!$A:$C,3,0),0)),"NA")</f>
        <v>NA</v>
      </c>
      <c r="U17" s="16" t="str">
        <f aca="false">IFERROR(IF(VLOOKUP($D17,'Raw Data'!$B:$CQ,VLOOKUP('SWB CaseList'!U$5,'SWB-Lists'!$A:$C,3,0),0)=0,"NA",VLOOKUP($D17,'Raw Data'!$B:$CQ,VLOOKUP('SWB CaseList'!U$5,'SWB-Lists'!$A:$C,3,0),0)),"NA")</f>
        <v>NA</v>
      </c>
      <c r="V17" s="16" t="str">
        <f aca="false">IFERROR(IF(VLOOKUP($D17,'Raw Data'!$B:$CQ,VLOOKUP('SWB CaseList'!V$5,'SWB-Lists'!$A:$C,3,0),0)=0,"NA",VLOOKUP($D17,'Raw Data'!$B:$CQ,VLOOKUP('SWB CaseList'!V$5,'SWB-Lists'!$A:$C,3,0),0)),"NA")</f>
        <v>NA</v>
      </c>
      <c r="W17" s="16" t="str">
        <f aca="false">IFERROR(IF(VLOOKUP($D17,'Raw Data'!$B:$CQ,VLOOKUP('SWB CaseList'!W$5,'SWB-Lists'!$A:$C,3,0),0)=0,"NA",VLOOKUP($D17,'Raw Data'!$B:$CQ,VLOOKUP('SWB CaseList'!W$5,'SWB-Lists'!$A:$C,3,0),0)),"NA")</f>
        <v>NA</v>
      </c>
      <c r="X17" s="16" t="str">
        <f aca="false">IFERROR(IF(VLOOKUP($D17,'Raw Data'!$B:$CQ,VLOOKUP('SWB CaseList'!X$5,'SWB-Lists'!$A:$C,3,0),0)=0,"NA",VLOOKUP($D17,'Raw Data'!$B:$CQ,VLOOKUP('SWB CaseList'!X$5,'SWB-Lists'!$A:$C,3,0),0)),"NA")</f>
        <v>NA</v>
      </c>
      <c r="Y17" s="16" t="str">
        <f aca="false">IFERROR(IF(VLOOKUP($D17,'Raw Data'!$B:$CQ,VLOOKUP('SWB CaseList'!Y$5,'SWB-Lists'!$A:$C,3,0),0)=0,"NA",VLOOKUP($D17,'Raw Data'!$B:$CQ,VLOOKUP('SWB CaseList'!Y$5,'SWB-Lists'!$A:$C,3,0),0)),"NA")</f>
        <v>NA</v>
      </c>
      <c r="Z17" s="1" t="str">
        <f aca="false">IF($D17="","",IF(OR($J17="",$J17="NA"),"Sin datos",IF(OR(ISNUMBER(SEARCH("Chihuahua",$J17)),ISNUMBER(SEARCH("Coahuila",$J17)),ISNUMBER(SEARCH("Baja California Norte",$J17)),ISNUMBER(SEARCH("Nuevo Leon",$J17)),ISNUMBER(SEARCH("Nuevo León",$J17)),ISNUMBER(SEARCH("Tamaulipas",$J17)),ISNUMBER(SEARCH("Sonora",$J17))),"OK - Frontera","Revisar: State no es Frontera")))</f>
        <v>Sin datos</v>
      </c>
    </row>
    <row r="18" customFormat="false" ht="14.25" hidden="false" customHeight="true" outlineLevel="0" collapsed="false">
      <c r="A18" s="13"/>
      <c r="B18" s="14" t="s">
        <v>367</v>
      </c>
      <c r="C18" s="14" t="s">
        <v>47</v>
      </c>
      <c r="D18" s="45" t="n">
        <v>12389270</v>
      </c>
      <c r="E18" s="17" t="str">
        <f aca="false">IFERROR(IF(VLOOKUP($D18,'Raw Data'!$B:$CQ,VLOOKUP('SWB CaseList'!E$5,'SWB-Lists'!$A:$C,3,0),0)=0,"NA",VLOOKUP($D18,'Raw Data'!$B:$CQ,VLOOKUP('SWB CaseList'!E$5,'SWB-Lists'!$A:$C,3,0),0)),"NA")</f>
        <v>NA</v>
      </c>
      <c r="F18" s="46" t="s">
        <v>48</v>
      </c>
      <c r="G18" s="16" t="str">
        <f aca="false">IFERROR(IF(VLOOKUP($D18,'Raw Data'!$B:$CQ,VLOOKUP('SWB CaseList'!G$5,'SWB-Lists'!$A:$C,3,0),0)=0,"NA",VLOOKUP($D18,'Raw Data'!$B:$CQ,VLOOKUP('SWB CaseList'!G$5,'SWB-Lists'!$A:$C,3,0),0)),"NA")</f>
        <v>NA</v>
      </c>
      <c r="H18" s="16" t="str">
        <f aca="false">IFERROR(IF(VLOOKUP($D18,'Raw Data'!$B:$CQ,VLOOKUP('SWB CaseList'!H$5,'SWB-Lists'!$A:$C,3,0),0)=0,"NA",VLOOKUP($D18,'Raw Data'!$B:$CQ,VLOOKUP('SWB CaseList'!H$5,'SWB-Lists'!$A:$C,3,0),0)),"NA")</f>
        <v>NA</v>
      </c>
      <c r="I18" s="16" t="str">
        <f aca="false">IFERROR(IF(VLOOKUP($D18,'Raw Data'!$B:$CQ,VLOOKUP('SWB CaseList'!I$5,'SWB-Lists'!$A:$C,3,0),0)=0,"NA",VLOOKUP($D18,'Raw Data'!$B:$CQ,VLOOKUP('SWB CaseList'!I$5,'SWB-Lists'!$A:$C,3,0),0)),"NA")</f>
        <v>NA</v>
      </c>
      <c r="J18" s="16" t="str">
        <f aca="false">IFERROR(IF(VLOOKUP($D18,'Raw Data'!$B:$CQ,VLOOKUP('SWB CaseList'!J$5,'SWB-Lists'!$A:$C,3,0),0)=0,"NA",VLOOKUP($D18,'Raw Data'!$B:$CQ,VLOOKUP('SWB CaseList'!J$5,'SWB-Lists'!$A:$C,3,0),0)),"NA")</f>
        <v>NA</v>
      </c>
      <c r="K18" s="16" t="str">
        <f aca="false">IFERROR(IF(VLOOKUP($D18,'Raw Data'!$B:$CQ,VLOOKUP('SWB CaseList'!K$5,'SWB-Lists'!$A:$C,3,0),0)=0,"NA",VLOOKUP($D18,'Raw Data'!$B:$CQ,VLOOKUP('SWB CaseList'!K$5,'SWB-Lists'!$A:$C,3,0),0)),"NA")</f>
        <v>NA</v>
      </c>
      <c r="L18" s="16" t="str">
        <f aca="false">IFERROR(IF(VLOOKUP($D18,'Raw Data'!$B:$CQ,VLOOKUP('SWB CaseList'!L$5,'SWB-Lists'!$A:$C,3,0),0)=0,"NA",VLOOKUP($D18,'Raw Data'!$B:$CQ,VLOOKUP('SWB CaseList'!L$5,'SWB-Lists'!$A:$C,3,0),0)),"NA")</f>
        <v>NA</v>
      </c>
      <c r="M18" s="16" t="str">
        <f aca="false">IFERROR(IF(VLOOKUP($D18,'Raw Data'!$B:$CQ,VLOOKUP('SWB CaseList'!M$5,'SWB-Lists'!$A:$C,3,0),0)=0,"NA",VLOOKUP($D18,'Raw Data'!$B:$CQ,VLOOKUP('SWB CaseList'!M$5,'SWB-Lists'!$A:$C,3,0),0)),"NA")</f>
        <v>NA</v>
      </c>
      <c r="N18" s="47" t="str">
        <f aca="false">IFERROR(IF(VLOOKUP($D18,'Raw Data'!$B:$CQ,VLOOKUP('SWB CaseList'!N$5,'SWB-Lists'!$A:$C,3,0),0)=0,"NA",VLOOKUP($D18,'Raw Data'!$B:$CQ,VLOOKUP('SWB CaseList'!N$5,'SWB-Lists'!$A:$C,3,0),0)),"NA")</f>
        <v>NA</v>
      </c>
      <c r="O18" s="48" t="str">
        <f aca="false">IFERROR(IF(VLOOKUP($D18,'Raw Data'!$B:$CQ,VLOOKUP('SWB CaseList'!O$5,'SWB-Lists'!$A:$C,3,0),0)=0,"NA",VLOOKUP($D18,'Raw Data'!$B:$CQ,VLOOKUP('SWB CaseList'!O$5,'SWB-Lists'!$A:$C,3,0),0)),"NA")</f>
        <v>NA</v>
      </c>
      <c r="P18" s="49" t="str">
        <f aca="false">IFERROR(IF(VLOOKUP($D18,'Raw Data'!$B:$CQ,VLOOKUP('SWB CaseList'!P$5,'SWB-Lists'!$A:$C,3,0),0)=0,"NA",VLOOKUP($D18,'Raw Data'!$B:$CQ,VLOOKUP('SWB CaseList'!P$5,'SWB-Lists'!$A:$C,3,0),0)),"NA")</f>
        <v>NA</v>
      </c>
      <c r="Q18" s="16" t="str">
        <f aca="false">IFERROR(IF(VLOOKUP($D18,'Raw Data'!$B:$CQ,VLOOKUP('SWB CaseList'!Q$5,'SWB-Lists'!$A:$C,3,0),0)=0,"NA",VLOOKUP($D18,'Raw Data'!$B:$CQ,VLOOKUP('SWB CaseList'!Q$5,'SWB-Lists'!$A:$C,3,0),0)),"NA")</f>
        <v>NA</v>
      </c>
      <c r="R18" s="16" t="str">
        <f aca="false">IFERROR(IF(VLOOKUP($D18,'Raw Data'!$B:$CQ,VLOOKUP('SWB CaseList'!R$5,'SWB-Lists'!$A:$C,3,0),0)=0,"NA",VLOOKUP($D18,'Raw Data'!$B:$CQ,VLOOKUP('SWB CaseList'!R$5,'SWB-Lists'!$A:$C,3,0),0)),"NA")</f>
        <v>NA</v>
      </c>
      <c r="S18" s="16" t="str">
        <f aca="false">IFERROR(IF(VLOOKUP($D18,'Raw Data'!$B:$CQ,VLOOKUP('SWB CaseList'!S$5,'SWB-Lists'!$A:$C,3,0),0)=0,"NA",VLOOKUP($D18,'Raw Data'!$B:$CQ,VLOOKUP('SWB CaseList'!S$5,'SWB-Lists'!$A:$C,3,0),0)),"NA")</f>
        <v>NA</v>
      </c>
      <c r="T18" s="16" t="str">
        <f aca="false">IFERROR(IF(VLOOKUP($D18,'Raw Data'!$B:$CQ,VLOOKUP('SWB CaseList'!T$5,'SWB-Lists'!$A:$C,3,0),0)=0,"NA",VLOOKUP($D18,'Raw Data'!$B:$CQ,VLOOKUP('SWB CaseList'!T$5,'SWB-Lists'!$A:$C,3,0),0)),"NA")</f>
        <v>NA</v>
      </c>
      <c r="U18" s="16" t="str">
        <f aca="false">IFERROR(IF(VLOOKUP($D18,'Raw Data'!$B:$CQ,VLOOKUP('SWB CaseList'!U$5,'SWB-Lists'!$A:$C,3,0),0)=0,"NA",VLOOKUP($D18,'Raw Data'!$B:$CQ,VLOOKUP('SWB CaseList'!U$5,'SWB-Lists'!$A:$C,3,0),0)),"NA")</f>
        <v>NA</v>
      </c>
      <c r="V18" s="16" t="str">
        <f aca="false">IFERROR(IF(VLOOKUP($D18,'Raw Data'!$B:$CQ,VLOOKUP('SWB CaseList'!V$5,'SWB-Lists'!$A:$C,3,0),0)=0,"NA",VLOOKUP($D18,'Raw Data'!$B:$CQ,VLOOKUP('SWB CaseList'!V$5,'SWB-Lists'!$A:$C,3,0),0)),"NA")</f>
        <v>NA</v>
      </c>
      <c r="W18" s="16" t="str">
        <f aca="false">IFERROR(IF(VLOOKUP($D18,'Raw Data'!$B:$CQ,VLOOKUP('SWB CaseList'!W$5,'SWB-Lists'!$A:$C,3,0),0)=0,"NA",VLOOKUP($D18,'Raw Data'!$B:$CQ,VLOOKUP('SWB CaseList'!W$5,'SWB-Lists'!$A:$C,3,0),0)),"NA")</f>
        <v>NA</v>
      </c>
      <c r="X18" s="16" t="str">
        <f aca="false">IFERROR(IF(VLOOKUP($D18,'Raw Data'!$B:$CQ,VLOOKUP('SWB CaseList'!X$5,'SWB-Lists'!$A:$C,3,0),0)=0,"NA",VLOOKUP($D18,'Raw Data'!$B:$CQ,VLOOKUP('SWB CaseList'!X$5,'SWB-Lists'!$A:$C,3,0),0)),"NA")</f>
        <v>NA</v>
      </c>
      <c r="Y18" s="16" t="str">
        <f aca="false">IFERROR(IF(VLOOKUP($D18,'Raw Data'!$B:$CQ,VLOOKUP('SWB CaseList'!Y$5,'SWB-Lists'!$A:$C,3,0),0)=0,"NA",VLOOKUP($D18,'Raw Data'!$B:$CQ,VLOOKUP('SWB CaseList'!Y$5,'SWB-Lists'!$A:$C,3,0),0)),"NA")</f>
        <v>NA</v>
      </c>
      <c r="Z18" s="1" t="str">
        <f aca="false">IF($D18="","",IF(OR($J18="",$J18="NA"),"Sin datos",IF(OR(ISNUMBER(SEARCH("Chihuahua",$J18)),ISNUMBER(SEARCH("Coahuila",$J18)),ISNUMBER(SEARCH("Baja California Norte",$J18)),ISNUMBER(SEARCH("Nuevo Leon",$J18)),ISNUMBER(SEARCH("Nuevo León",$J18)),ISNUMBER(SEARCH("Tamaulipas",$J18)),ISNUMBER(SEARCH("Sonora",$J18))),"OK - Frontera","Revisar: State no es Frontera")))</f>
        <v>Sin datos</v>
      </c>
    </row>
  </sheetData>
  <mergeCells count="1">
    <mergeCell ref="F2:H3"/>
  </mergeCells>
  <dataValidations count="29">
    <dataValidation allowBlank="true" errorStyle="stop" operator="between" showDropDown="false" showErrorMessage="true" showInputMessage="true" sqref="C5" type="list">
      <formula1>"Business Group"</formula1>
      <formula2>0</formula2>
    </dataValidation>
    <dataValidation allowBlank="true" errorStyle="stop" operator="between" showDropDown="false" showErrorMessage="true" showInputMessage="true" sqref="L5" type="list">
      <formula1>"Subject Country"</formula1>
      <formula2>0</formula2>
    </dataValidation>
    <dataValidation allowBlank="true" errorStyle="stop" operator="between" showDropDown="false" showErrorMessage="true" showInputMessage="true" sqref="K5" type="list">
      <formula1>"Subject Zip Code"</formula1>
      <formula2>0</formula2>
    </dataValidation>
    <dataValidation allowBlank="true" errorStyle="stop" operator="between" showDropDown="false" showErrorMessage="true" showInputMessage="true" sqref="J5" type="list">
      <formula1>"Subject State"</formula1>
      <formula2>0</formula2>
    </dataValidation>
    <dataValidation allowBlank="true" errorStyle="stop" operator="between" showDropDown="false" showErrorMessage="true" showInputMessage="true" sqref="I5" type="list">
      <formula1>"Subject City"</formula1>
      <formula2>0</formula2>
    </dataValidation>
    <dataValidation allowBlank="true" errorStyle="stop" operator="between" showDropDown="false" showErrorMessage="true" showInputMessage="true" sqref="H5" type="list">
      <formula1>"Subject Address"</formula1>
      <formula2>0</formula2>
    </dataValidation>
    <dataValidation allowBlank="true" errorStyle="stop" operator="between" showDropDown="false" showErrorMessage="true" showInputMessage="true" sqref="G5" type="list">
      <formula1>"Subject Name"</formula1>
      <formula2>0</formula2>
    </dataValidation>
    <dataValidation allowBlank="true" error="Shop ID should be numeric and should contain upto 11 digits" errorStyle="stop" operator="between" showDropDown="false" showErrorMessage="true" showInputMessage="true" sqref="D5" type="list">
      <formula1>"Shop ID"</formula1>
      <formula2>0</formula2>
    </dataValidation>
    <dataValidation allowBlank="true" errorStyle="stop" operator="between" showDropDown="false" showErrorMessage="true" showInputMessage="true" sqref="A5" type="list">
      <formula1>"Case ID"</formula1>
      <formula2>0</formula2>
    </dataValidation>
    <dataValidation allowBlank="true" errorStyle="stop" operator="between" showDropDown="false" showErrorMessage="true" showInputMessage="true" sqref="X5" type="list">
      <formula1>"Final Pass Fail"</formula1>
      <formula2>0</formula2>
    </dataValidation>
    <dataValidation allowBlank="true" errorStyle="stop" operator="between" showDropDown="false" showErrorMessage="true" showInputMessage="true" sqref="C6:C1018" type="list">
      <formula1>"GFO"</formula1>
      <formula2>0</formula2>
    </dataValidation>
    <dataValidation allowBlank="true" errorStyle="stop" operator="between" showDropDown="false" showErrorMessage="true" showInputMessage="true" sqref="U5" type="list">
      <formula1>"FLA Gender"</formula1>
      <formula2>0</formula2>
    </dataValidation>
    <dataValidation allowBlank="true" errorStyle="stop" operator="between" showDropDown="false" showErrorMessage="true" showInputMessage="true" sqref="M5" type="list">
      <formula1>"Shopper Gender"</formula1>
      <formula2>0</formula2>
    </dataValidation>
    <dataValidation allowBlank="true" errorStyle="stop" operator="between" showDropDown="false" showErrorMessage="true" showInputMessage="true" sqref="N5" type="list">
      <formula1>"Shopper Ethnicity"</formula1>
      <formula2>0</formula2>
    </dataValidation>
    <dataValidation allowBlank="true" errorStyle="stop" operator="between" showDropDown="false" showErrorMessage="true" showInputMessage="true" sqref="W5" type="list">
      <formula1>"Interaction Detail"</formula1>
      <formula2>0</formula2>
    </dataValidation>
    <dataValidation allowBlank="true" errorStyle="stop" operator="between" showDropDown="false" showErrorMessage="true" showInputMessage="true" sqref="V5" type="list">
      <formula1>"FLA Description"</formula1>
      <formula2>0</formula2>
    </dataValidation>
    <dataValidation allowBlank="true" errorStyle="stop" operator="between" showDropDown="false" showErrorMessage="true" showInputMessage="true" sqref="T5" type="list">
      <formula1>"FLA Name"</formula1>
      <formula2>0</formula2>
    </dataValidation>
    <dataValidation allowBlank="true" errorStyle="stop" operator="between" showDropDown="false" showErrorMessage="true" showInputMessage="true" sqref="S5" type="list">
      <formula1>"Scenario Detail"</formula1>
      <formula2>0</formula2>
    </dataValidation>
    <dataValidation allowBlank="true" errorStyle="stop" operator="between" showDropDown="false" showErrorMessage="true" showInputMessage="true" sqref="R5" type="list">
      <formula1>"Scenario Used"</formula1>
      <formula2>0</formula2>
    </dataValidation>
    <dataValidation allowBlank="true" errorStyle="stop" operator="between" showDropDown="false" showErrorMessage="true" showInputMessage="true" sqref="Q5" type="list">
      <formula1>"Time Visit Ended"</formula1>
      <formula2>0</formula2>
    </dataValidation>
    <dataValidation allowBlank="true" errorStyle="stop" operator="between" showDropDown="false" showErrorMessage="true" showInputMessage="true" sqref="P5" type="list">
      <formula1>"Time Visit Began"</formula1>
      <formula2>0</formula2>
    </dataValidation>
    <dataValidation allowBlank="true" errorStyle="stop" errorTitle="iWatch" operator="between" showDropDown="false" showErrorMessage="true" showInputMessage="true" sqref="O5" type="list">
      <formula1>"Date Shop Performed"</formula1>
      <formula2>0</formula2>
    </dataValidation>
    <dataValidation allowBlank="true" errorStyle="stop" operator="between" showDropDown="false" showErrorMessage="true" showInputMessage="true" sqref="B5" type="list">
      <formula1>"Interview Type"</formula1>
      <formula2>0</formula2>
    </dataValidation>
    <dataValidation allowBlank="true" errorStyle="stop" operator="between" showDropDown="false" showErrorMessage="true" showInputMessage="true" sqref="M19:M1018 U19:U1018" type="list">
      <formula1>"Male,Female"</formula1>
      <formula2>0</formula2>
    </dataValidation>
    <dataValidation allowBlank="true" error="Invalid date" errorStyle="stop" errorTitle="iWatch" operator="between" prompt="Please enter correct date format e.g. MM/DD/YY" promptTitle="iWatch" showDropDown="false" showErrorMessage="true" showInputMessage="true" sqref="O19:O1018" type="date">
      <formula1>1</formula1>
      <formula2>2958101</formula2>
    </dataValidation>
    <dataValidation allowBlank="true" errorStyle="stop" operator="between" showDropDown="false" showErrorMessage="true" showInputMessage="true" sqref="X19:X1018" type="list">
      <formula1>"Pass,Fail"</formula1>
      <formula2>0</formula2>
    </dataValidation>
    <dataValidation allowBlank="true" errorStyle="stop" operator="between" showDropDown="false" showErrorMessage="true" showInputMessage="true" sqref="F6:F1018" type="list">
      <formula1>"Agent,Agent Network,Agent Sub Network,Agent Location"</formula1>
      <formula2>0</formula2>
    </dataValidation>
    <dataValidation allowBlank="true" error="Shop ID should be numeric and should contain upto 11 digits" errorStyle="stop" operator="between" showDropDown="false" showErrorMessage="true" showInputMessage="true" sqref="D6:D1018" type="custom">
      <formula1>AND(LEN(D6)&gt;0,LEN(D6)&lt;12,ISNUMBER(D6))</formula1>
      <formula2>0</formula2>
    </dataValidation>
    <dataValidation allowBlank="true" errorStyle="stop" operator="between" showDropDown="false" showErrorMessage="true" showInputMessage="true" sqref="B6:B1018" type="list">
      <formula1>"Mystery Shopping"</formula1>
      <formula2>0</formula2>
    </dataValidation>
  </dataValidations>
  <printOptions headings="false" gridLines="false" gridLinesSet="true" horizontalCentered="false" verticalCentered="false"/>
  <pageMargins left="0.7" right="0.7" top="0.75" bottom="0.75" header="0.511811023622047" footer="0.3"/>
  <pageSetup paperSize="1" scale="100" fitToWidth="1" fitToHeight="1" pageOrder="downThenOver" orientation="portrait" blackAndWhite="false" draft="false" cellComments="none" horizontalDpi="300" verticalDpi="300" copies="1"/>
  <headerFooter differentFirst="false" differentOddEven="false">
    <oddHeader/>
    <oddFooter>&amp;L&amp;10 _x005F_x000d_# Classification: Western Union Unrestricted Internal </oddFooter>
  </headerFooter>
  <tableParts>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G11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35" activeCellId="0" sqref="D35"/>
    </sheetView>
  </sheetViews>
  <sheetFormatPr defaultColWidth="8.6796875" defaultRowHeight="14.25" zeroHeight="false" outlineLevelRow="0" outlineLevelCol="0"/>
  <cols>
    <col collapsed="false" customWidth="true" hidden="false" outlineLevel="0" max="1" min="1" style="1" width="20.91"/>
    <col collapsed="false" customWidth="true" hidden="false" outlineLevel="0" max="2" min="2" style="1" width="30.54"/>
    <col collapsed="false" customWidth="true" hidden="false" outlineLevel="0" max="6" min="6" style="1" width="23.91"/>
  </cols>
  <sheetData>
    <row r="1" customFormat="false" ht="14.25" hidden="false" customHeight="true" outlineLevel="0" collapsed="false">
      <c r="A1" s="1" t="s">
        <v>368</v>
      </c>
      <c r="B1" s="1" t="s">
        <v>369</v>
      </c>
      <c r="C1" s="1" t="s">
        <v>370</v>
      </c>
    </row>
    <row r="2" customFormat="false" ht="14.25" hidden="false" customHeight="true" outlineLevel="0" collapsed="false">
      <c r="A2" s="1" t="s">
        <v>4</v>
      </c>
      <c r="B2" s="1" t="s">
        <v>240</v>
      </c>
      <c r="C2" s="1" t="n">
        <v>1</v>
      </c>
      <c r="F2" s="27" t="s">
        <v>241</v>
      </c>
      <c r="G2" s="1" t="n">
        <v>1</v>
      </c>
    </row>
    <row r="3" customFormat="false" ht="14.25" hidden="false" customHeight="true" outlineLevel="0" collapsed="false">
      <c r="A3" s="1" t="s">
        <v>5</v>
      </c>
      <c r="B3" s="1" t="s">
        <v>242</v>
      </c>
      <c r="C3" s="1" t="n">
        <v>10</v>
      </c>
      <c r="F3" s="1" t="s">
        <v>243</v>
      </c>
      <c r="G3" s="1" t="n">
        <v>2</v>
      </c>
    </row>
    <row r="4" customFormat="false" ht="14.25" hidden="false" customHeight="true" outlineLevel="0" collapsed="false">
      <c r="A4" s="1" t="s">
        <v>7</v>
      </c>
      <c r="B4" s="1" t="s">
        <v>244</v>
      </c>
      <c r="C4" s="1" t="n">
        <v>11</v>
      </c>
      <c r="F4" s="1" t="s">
        <v>245</v>
      </c>
      <c r="G4" s="1" t="n">
        <v>3</v>
      </c>
    </row>
    <row r="5" customFormat="false" ht="14.25" hidden="false" customHeight="true" outlineLevel="0" collapsed="false">
      <c r="A5" s="1" t="s">
        <v>8</v>
      </c>
      <c r="B5" s="1" t="s">
        <v>246</v>
      </c>
      <c r="C5" s="1" t="n">
        <v>12</v>
      </c>
      <c r="F5" s="1" t="s">
        <v>247</v>
      </c>
      <c r="G5" s="1" t="n">
        <v>4</v>
      </c>
    </row>
    <row r="6" customFormat="false" ht="14.25" hidden="false" customHeight="true" outlineLevel="0" collapsed="false">
      <c r="A6" s="1" t="s">
        <v>9</v>
      </c>
      <c r="B6" s="1" t="s">
        <v>248</v>
      </c>
      <c r="C6" s="1" t="n">
        <v>13</v>
      </c>
      <c r="F6" s="1" t="s">
        <v>249</v>
      </c>
      <c r="G6" s="1" t="n">
        <v>5</v>
      </c>
    </row>
    <row r="7" customFormat="false" ht="14.25" hidden="false" customHeight="true" outlineLevel="0" collapsed="false">
      <c r="A7" s="1" t="s">
        <v>10</v>
      </c>
      <c r="B7" s="1" t="s">
        <v>250</v>
      </c>
      <c r="C7" s="1" t="n">
        <v>14</v>
      </c>
      <c r="F7" s="1" t="s">
        <v>251</v>
      </c>
      <c r="G7" s="1" t="n">
        <v>6</v>
      </c>
    </row>
    <row r="8" customFormat="false" ht="14.25" hidden="false" customHeight="true" outlineLevel="0" collapsed="false">
      <c r="A8" s="1" t="s">
        <v>11</v>
      </c>
      <c r="B8" s="1" t="s">
        <v>252</v>
      </c>
      <c r="C8" s="1" t="n">
        <v>16</v>
      </c>
      <c r="F8" s="1" t="s">
        <v>253</v>
      </c>
      <c r="G8" s="1" t="n">
        <v>7</v>
      </c>
    </row>
    <row r="9" customFormat="false" ht="14.25" hidden="false" customHeight="true" outlineLevel="0" collapsed="false">
      <c r="A9" s="1" t="s">
        <v>12</v>
      </c>
      <c r="B9" s="1" t="s">
        <v>254</v>
      </c>
      <c r="C9" s="1" t="n">
        <v>15</v>
      </c>
      <c r="F9" s="1" t="s">
        <v>255</v>
      </c>
      <c r="G9" s="1" t="n">
        <v>8</v>
      </c>
    </row>
    <row r="10" customFormat="false" ht="14.25" hidden="false" customHeight="true" outlineLevel="0" collapsed="false">
      <c r="A10" s="1" t="s">
        <v>356</v>
      </c>
      <c r="B10" s="1" t="s">
        <v>274</v>
      </c>
      <c r="C10" s="1" t="n">
        <v>58</v>
      </c>
      <c r="F10" s="1" t="s">
        <v>257</v>
      </c>
      <c r="G10" s="1" t="n">
        <v>9</v>
      </c>
    </row>
    <row r="11" customFormat="false" ht="14.25" hidden="false" customHeight="true" outlineLevel="0" collapsed="false">
      <c r="A11" s="1" t="s">
        <v>358</v>
      </c>
      <c r="B11" s="1" t="s">
        <v>371</v>
      </c>
      <c r="C11" s="1" t="n">
        <v>2</v>
      </c>
      <c r="F11" s="1" t="s">
        <v>258</v>
      </c>
      <c r="G11" s="1" t="n">
        <v>10</v>
      </c>
    </row>
    <row r="12" customFormat="false" ht="14.25" hidden="false" customHeight="true" outlineLevel="0" collapsed="false">
      <c r="A12" s="1" t="s">
        <v>359</v>
      </c>
      <c r="B12" s="1" t="s">
        <v>261</v>
      </c>
      <c r="C12" s="1" t="n">
        <v>61</v>
      </c>
      <c r="F12" s="1" t="s">
        <v>260</v>
      </c>
      <c r="G12" s="1" t="n">
        <v>11</v>
      </c>
    </row>
    <row r="13" customFormat="false" ht="14.25" hidden="false" customHeight="true" outlineLevel="0" collapsed="false">
      <c r="A13" s="1" t="s">
        <v>360</v>
      </c>
      <c r="B13" s="1" t="s">
        <v>263</v>
      </c>
      <c r="C13" s="1" t="n">
        <v>62</v>
      </c>
      <c r="F13" s="1" t="s">
        <v>262</v>
      </c>
      <c r="G13" s="1" t="n">
        <v>12</v>
      </c>
    </row>
    <row r="14" customFormat="false" ht="14.25" hidden="false" customHeight="true" outlineLevel="0" collapsed="false">
      <c r="A14" s="1" t="s">
        <v>361</v>
      </c>
      <c r="B14" s="1" t="s">
        <v>266</v>
      </c>
      <c r="C14" s="1" t="n">
        <v>34</v>
      </c>
      <c r="F14" s="1" t="s">
        <v>264</v>
      </c>
      <c r="G14" s="1" t="n">
        <v>13</v>
      </c>
    </row>
    <row r="15" customFormat="false" ht="14.25" hidden="false" customHeight="true" outlineLevel="0" collapsed="false">
      <c r="A15" s="1" t="s">
        <v>363</v>
      </c>
      <c r="B15" s="1" t="s">
        <v>272</v>
      </c>
      <c r="C15" s="1" t="n">
        <v>63</v>
      </c>
      <c r="F15" s="1" t="s">
        <v>265</v>
      </c>
      <c r="G15" s="1" t="n">
        <v>14</v>
      </c>
    </row>
    <row r="16" customFormat="false" ht="14.25" hidden="false" customHeight="true" outlineLevel="0" collapsed="false">
      <c r="A16" s="1" t="s">
        <v>364</v>
      </c>
      <c r="B16" s="1" t="s">
        <v>274</v>
      </c>
      <c r="C16" s="1" t="n">
        <v>66</v>
      </c>
      <c r="F16" s="1" t="s">
        <v>267</v>
      </c>
      <c r="G16" s="1" t="n">
        <v>15</v>
      </c>
    </row>
    <row r="17" customFormat="false" ht="14.25" hidden="false" customHeight="true" outlineLevel="0" collapsed="false">
      <c r="A17" s="1" t="s">
        <v>365</v>
      </c>
      <c r="B17" s="1" t="s">
        <v>276</v>
      </c>
      <c r="C17" s="1" t="n">
        <v>65</v>
      </c>
      <c r="F17" s="1" t="s">
        <v>268</v>
      </c>
      <c r="G17" s="1" t="n">
        <v>16</v>
      </c>
    </row>
    <row r="18" customFormat="false" ht="14.25" hidden="false" customHeight="true" outlineLevel="0" collapsed="false">
      <c r="A18" s="1" t="s">
        <v>366</v>
      </c>
      <c r="B18" s="1" t="s">
        <v>292</v>
      </c>
      <c r="C18" s="1" t="n">
        <v>76</v>
      </c>
      <c r="F18" s="1" t="s">
        <v>269</v>
      </c>
      <c r="G18" s="1" t="n">
        <v>17</v>
      </c>
    </row>
    <row r="19" customFormat="false" ht="14.25" hidden="false" customHeight="true" outlineLevel="0" collapsed="false">
      <c r="A19" s="1" t="s">
        <v>13</v>
      </c>
      <c r="B19" s="1" t="s">
        <v>256</v>
      </c>
      <c r="C19" s="1" t="n">
        <v>67</v>
      </c>
      <c r="F19" s="1" t="s">
        <v>270</v>
      </c>
      <c r="G19" s="1" t="n">
        <v>18</v>
      </c>
    </row>
    <row r="20" customFormat="false" ht="14.25" hidden="false" customHeight="true" outlineLevel="0" collapsed="false">
      <c r="A20" s="1" t="s">
        <v>14</v>
      </c>
      <c r="B20" s="1" t="s">
        <v>256</v>
      </c>
      <c r="C20" s="1" t="n">
        <v>67</v>
      </c>
      <c r="F20" s="1" t="s">
        <v>285</v>
      </c>
      <c r="G20" s="1" t="n">
        <v>19</v>
      </c>
    </row>
    <row r="21" customFormat="false" ht="14.25" hidden="false" customHeight="true" outlineLevel="0" collapsed="false">
      <c r="A21" s="1" t="s">
        <v>362</v>
      </c>
      <c r="B21" s="1" t="s">
        <v>372</v>
      </c>
      <c r="C21" s="1" t="n">
        <v>71</v>
      </c>
      <c r="F21" s="1" t="s">
        <v>286</v>
      </c>
      <c r="G21" s="1" t="n">
        <v>20</v>
      </c>
    </row>
    <row r="22" customFormat="false" ht="14.25" hidden="false" customHeight="true" outlineLevel="0" collapsed="false">
      <c r="F22" s="1" t="s">
        <v>324</v>
      </c>
      <c r="G22" s="1" t="n">
        <v>21</v>
      </c>
    </row>
    <row r="23" customFormat="false" ht="14.25" hidden="false" customHeight="true" outlineLevel="0" collapsed="false">
      <c r="F23" s="1" t="s">
        <v>328</v>
      </c>
      <c r="G23" s="1" t="n">
        <v>22</v>
      </c>
    </row>
    <row r="24" customFormat="false" ht="14.25" hidden="false" customHeight="true" outlineLevel="0" collapsed="false">
      <c r="F24" s="1" t="s">
        <v>336</v>
      </c>
      <c r="G24" s="1" t="n">
        <v>23</v>
      </c>
    </row>
    <row r="25" customFormat="false" ht="14.25" hidden="false" customHeight="true" outlineLevel="0" collapsed="false">
      <c r="F25" s="1" t="s">
        <v>337</v>
      </c>
      <c r="G25" s="1" t="n">
        <v>24</v>
      </c>
    </row>
    <row r="26" customFormat="false" ht="14.25" hidden="false" customHeight="true" outlineLevel="0" collapsed="false">
      <c r="F26" s="1" t="s">
        <v>338</v>
      </c>
      <c r="G26" s="1" t="n">
        <v>25</v>
      </c>
    </row>
    <row r="27" customFormat="false" ht="14.25" hidden="false" customHeight="true" outlineLevel="0" collapsed="false">
      <c r="F27" s="1" t="s">
        <v>339</v>
      </c>
      <c r="G27" s="1" t="n">
        <v>26</v>
      </c>
    </row>
    <row r="28" customFormat="false" ht="14.25" hidden="false" customHeight="true" outlineLevel="0" collapsed="false">
      <c r="F28" s="1" t="s">
        <v>340</v>
      </c>
      <c r="G28" s="1" t="n">
        <v>27</v>
      </c>
    </row>
    <row r="29" customFormat="false" ht="14.25" hidden="false" customHeight="true" outlineLevel="0" collapsed="false">
      <c r="F29" s="1" t="s">
        <v>341</v>
      </c>
      <c r="G29" s="1" t="n">
        <v>28</v>
      </c>
    </row>
    <row r="30" customFormat="false" ht="14.25" hidden="false" customHeight="true" outlineLevel="0" collapsed="false">
      <c r="F30" s="1" t="s">
        <v>342</v>
      </c>
      <c r="G30" s="1" t="n">
        <v>29</v>
      </c>
    </row>
    <row r="31" customFormat="false" ht="14.25" hidden="false" customHeight="true" outlineLevel="0" collapsed="false">
      <c r="F31" s="1" t="s">
        <v>343</v>
      </c>
      <c r="G31" s="1" t="n">
        <v>30</v>
      </c>
    </row>
    <row r="32" customFormat="false" ht="14.25" hidden="false" customHeight="true" outlineLevel="0" collapsed="false">
      <c r="F32" s="1" t="s">
        <v>344</v>
      </c>
      <c r="G32" s="1" t="n">
        <v>31</v>
      </c>
    </row>
    <row r="33" customFormat="false" ht="14.25" hidden="false" customHeight="true" outlineLevel="0" collapsed="false">
      <c r="F33" s="1" t="s">
        <v>345</v>
      </c>
      <c r="G33" s="1" t="n">
        <v>32</v>
      </c>
    </row>
    <row r="34" customFormat="false" ht="14.25" hidden="false" customHeight="true" outlineLevel="0" collapsed="false">
      <c r="F34" s="1" t="s">
        <v>346</v>
      </c>
      <c r="G34" s="1" t="n">
        <v>33</v>
      </c>
    </row>
    <row r="35" customFormat="false" ht="14.25" hidden="false" customHeight="true" outlineLevel="0" collapsed="false">
      <c r="F35" s="1" t="s">
        <v>347</v>
      </c>
      <c r="G35" s="1" t="n">
        <v>34</v>
      </c>
    </row>
    <row r="36" customFormat="false" ht="14.25" hidden="false" customHeight="true" outlineLevel="0" collapsed="false">
      <c r="F36" s="1" t="s">
        <v>348</v>
      </c>
      <c r="G36" s="1" t="n">
        <v>35</v>
      </c>
    </row>
    <row r="37" customFormat="false" ht="14.25" hidden="false" customHeight="true" outlineLevel="0" collapsed="false">
      <c r="F37" s="1" t="s">
        <v>349</v>
      </c>
      <c r="G37" s="1" t="n">
        <v>36</v>
      </c>
    </row>
    <row r="38" customFormat="false" ht="14.25" hidden="false" customHeight="true" outlineLevel="0" collapsed="false">
      <c r="F38" s="1" t="s">
        <v>350</v>
      </c>
      <c r="G38" s="1" t="n">
        <v>37</v>
      </c>
    </row>
    <row r="39" customFormat="false" ht="14.25" hidden="false" customHeight="true" outlineLevel="0" collapsed="false">
      <c r="F39" s="1" t="s">
        <v>351</v>
      </c>
      <c r="G39" s="1" t="n">
        <v>38</v>
      </c>
    </row>
    <row r="40" customFormat="false" ht="14.25" hidden="false" customHeight="true" outlineLevel="0" collapsed="false">
      <c r="F40" s="1" t="s">
        <v>352</v>
      </c>
      <c r="G40" s="1" t="n">
        <v>39</v>
      </c>
    </row>
    <row r="41" customFormat="false" ht="14.25" hidden="false" customHeight="true" outlineLevel="0" collapsed="false">
      <c r="F41" s="1" t="s">
        <v>353</v>
      </c>
      <c r="G41" s="1" t="n">
        <v>40</v>
      </c>
    </row>
    <row r="42" customFormat="false" ht="14.25" hidden="false" customHeight="true" outlineLevel="0" collapsed="false">
      <c r="F42" s="1" t="s">
        <v>354</v>
      </c>
      <c r="G42" s="1" t="n">
        <v>41</v>
      </c>
    </row>
    <row r="43" customFormat="false" ht="14.25" hidden="false" customHeight="true" outlineLevel="0" collapsed="false">
      <c r="G43" s="1" t="n">
        <v>42</v>
      </c>
    </row>
    <row r="44" customFormat="false" ht="14.25" hidden="false" customHeight="true" outlineLevel="0" collapsed="false">
      <c r="G44" s="1" t="n">
        <v>43</v>
      </c>
    </row>
    <row r="45" customFormat="false" ht="14.25" hidden="false" customHeight="true" outlineLevel="0" collapsed="false">
      <c r="G45" s="1" t="n">
        <v>44</v>
      </c>
    </row>
    <row r="46" customFormat="false" ht="14.25" hidden="false" customHeight="true" outlineLevel="0" collapsed="false">
      <c r="G46" s="1" t="n">
        <v>45</v>
      </c>
    </row>
    <row r="47" customFormat="false" ht="14.25" hidden="false" customHeight="true" outlineLevel="0" collapsed="false">
      <c r="G47" s="1" t="n">
        <v>46</v>
      </c>
    </row>
    <row r="48" customFormat="false" ht="14.25" hidden="false" customHeight="true" outlineLevel="0" collapsed="false">
      <c r="G48" s="1" t="n">
        <v>47</v>
      </c>
    </row>
    <row r="49" customFormat="false" ht="14.25" hidden="false" customHeight="true" outlineLevel="0" collapsed="false">
      <c r="G49" s="1" t="n">
        <v>48</v>
      </c>
    </row>
    <row r="50" customFormat="false" ht="14.25" hidden="false" customHeight="true" outlineLevel="0" collapsed="false">
      <c r="G50" s="1" t="n">
        <v>49</v>
      </c>
    </row>
    <row r="51" customFormat="false" ht="14.25" hidden="false" customHeight="true" outlineLevel="0" collapsed="false">
      <c r="G51" s="1" t="n">
        <v>50</v>
      </c>
    </row>
    <row r="52" customFormat="false" ht="14.25" hidden="false" customHeight="true" outlineLevel="0" collapsed="false">
      <c r="G52" s="1" t="n">
        <v>51</v>
      </c>
    </row>
    <row r="53" customFormat="false" ht="14.25" hidden="false" customHeight="true" outlineLevel="0" collapsed="false">
      <c r="G53" s="1" t="n">
        <v>52</v>
      </c>
    </row>
    <row r="54" customFormat="false" ht="14.25" hidden="false" customHeight="true" outlineLevel="0" collapsed="false">
      <c r="G54" s="1" t="n">
        <v>53</v>
      </c>
    </row>
    <row r="55" customFormat="false" ht="14.25" hidden="false" customHeight="true" outlineLevel="0" collapsed="false">
      <c r="G55" s="1" t="n">
        <v>54</v>
      </c>
    </row>
    <row r="56" customFormat="false" ht="14.25" hidden="false" customHeight="true" outlineLevel="0" collapsed="false">
      <c r="G56" s="1" t="n">
        <v>55</v>
      </c>
    </row>
    <row r="57" customFormat="false" ht="14.25" hidden="false" customHeight="true" outlineLevel="0" collapsed="false">
      <c r="G57" s="1" t="n">
        <v>56</v>
      </c>
    </row>
    <row r="58" customFormat="false" ht="14.25" hidden="false" customHeight="true" outlineLevel="0" collapsed="false">
      <c r="G58" s="1" t="n">
        <v>57</v>
      </c>
    </row>
    <row r="59" customFormat="false" ht="14.25" hidden="false" customHeight="true" outlineLevel="0" collapsed="false">
      <c r="G59" s="1" t="n">
        <v>58</v>
      </c>
    </row>
    <row r="60" customFormat="false" ht="14.25" hidden="false" customHeight="true" outlineLevel="0" collapsed="false">
      <c r="G60" s="1" t="n">
        <v>59</v>
      </c>
    </row>
    <row r="61" customFormat="false" ht="14.25" hidden="false" customHeight="true" outlineLevel="0" collapsed="false">
      <c r="G61" s="1" t="n">
        <v>60</v>
      </c>
    </row>
    <row r="62" customFormat="false" ht="14.25" hidden="false" customHeight="true" outlineLevel="0" collapsed="false">
      <c r="G62" s="1" t="n">
        <v>61</v>
      </c>
    </row>
    <row r="63" customFormat="false" ht="14.25" hidden="false" customHeight="true" outlineLevel="0" collapsed="false">
      <c r="G63" s="1" t="n">
        <v>62</v>
      </c>
    </row>
    <row r="64" customFormat="false" ht="14.25" hidden="false" customHeight="true" outlineLevel="0" collapsed="false">
      <c r="G64" s="1" t="n">
        <v>63</v>
      </c>
    </row>
    <row r="65" customFormat="false" ht="14.25" hidden="false" customHeight="true" outlineLevel="0" collapsed="false">
      <c r="G65" s="1" t="n">
        <v>64</v>
      </c>
    </row>
    <row r="66" customFormat="false" ht="14.25" hidden="false" customHeight="true" outlineLevel="0" collapsed="false">
      <c r="G66" s="1" t="n">
        <v>65</v>
      </c>
    </row>
    <row r="67" customFormat="false" ht="14.25" hidden="false" customHeight="true" outlineLevel="0" collapsed="false">
      <c r="G67" s="1" t="n">
        <v>66</v>
      </c>
    </row>
    <row r="68" customFormat="false" ht="14.25" hidden="false" customHeight="true" outlineLevel="0" collapsed="false">
      <c r="G68" s="1" t="n">
        <v>67</v>
      </c>
    </row>
    <row r="69" customFormat="false" ht="14.25" hidden="false" customHeight="true" outlineLevel="0" collapsed="false">
      <c r="G69" s="1" t="n">
        <v>68</v>
      </c>
    </row>
    <row r="70" customFormat="false" ht="14.25" hidden="false" customHeight="true" outlineLevel="0" collapsed="false">
      <c r="G70" s="1" t="n">
        <v>69</v>
      </c>
    </row>
    <row r="71" customFormat="false" ht="14.25" hidden="false" customHeight="true" outlineLevel="0" collapsed="false">
      <c r="G71" s="1" t="n">
        <v>70</v>
      </c>
    </row>
    <row r="72" customFormat="false" ht="14.25" hidden="false" customHeight="true" outlineLevel="0" collapsed="false">
      <c r="G72" s="1" t="n">
        <v>71</v>
      </c>
    </row>
    <row r="73" customFormat="false" ht="14.25" hidden="false" customHeight="true" outlineLevel="0" collapsed="false">
      <c r="G73" s="1" t="n">
        <v>72</v>
      </c>
    </row>
    <row r="74" customFormat="false" ht="14.25" hidden="false" customHeight="true" outlineLevel="0" collapsed="false">
      <c r="G74" s="1" t="n">
        <v>73</v>
      </c>
    </row>
    <row r="75" customFormat="false" ht="14.25" hidden="false" customHeight="true" outlineLevel="0" collapsed="false">
      <c r="G75" s="1" t="n">
        <v>74</v>
      </c>
    </row>
    <row r="76" customFormat="false" ht="14.25" hidden="false" customHeight="true" outlineLevel="0" collapsed="false">
      <c r="G76" s="1" t="n">
        <v>75</v>
      </c>
    </row>
    <row r="77" customFormat="false" ht="14.25" hidden="false" customHeight="true" outlineLevel="0" collapsed="false">
      <c r="G77" s="1" t="n">
        <v>76</v>
      </c>
    </row>
    <row r="78" customFormat="false" ht="14.25" hidden="false" customHeight="true" outlineLevel="0" collapsed="false">
      <c r="G78" s="1" t="n">
        <v>77</v>
      </c>
    </row>
    <row r="79" customFormat="false" ht="14.25" hidden="false" customHeight="true" outlineLevel="0" collapsed="false">
      <c r="G79" s="1" t="n">
        <v>78</v>
      </c>
    </row>
    <row r="80" customFormat="false" ht="14.25" hidden="false" customHeight="true" outlineLevel="0" collapsed="false">
      <c r="G80" s="1" t="n">
        <v>79</v>
      </c>
    </row>
    <row r="81" customFormat="false" ht="14.25" hidden="false" customHeight="true" outlineLevel="0" collapsed="false">
      <c r="G81" s="1" t="n">
        <v>80</v>
      </c>
    </row>
    <row r="82" customFormat="false" ht="14.25" hidden="false" customHeight="true" outlineLevel="0" collapsed="false">
      <c r="G82" s="1" t="n">
        <v>81</v>
      </c>
    </row>
    <row r="83" customFormat="false" ht="14.25" hidden="false" customHeight="true" outlineLevel="0" collapsed="false">
      <c r="G83" s="1" t="n">
        <v>82</v>
      </c>
    </row>
    <row r="84" customFormat="false" ht="14.25" hidden="false" customHeight="true" outlineLevel="0" collapsed="false">
      <c r="G84" s="1" t="n">
        <v>83</v>
      </c>
    </row>
    <row r="85" customFormat="false" ht="14.25" hidden="false" customHeight="true" outlineLevel="0" collapsed="false">
      <c r="G85" s="1" t="n">
        <v>84</v>
      </c>
    </row>
    <row r="86" customFormat="false" ht="14.25" hidden="false" customHeight="true" outlineLevel="0" collapsed="false">
      <c r="G86" s="1" t="n">
        <v>85</v>
      </c>
    </row>
    <row r="87" customFormat="false" ht="14.25" hidden="false" customHeight="true" outlineLevel="0" collapsed="false">
      <c r="G87" s="1" t="n">
        <v>86</v>
      </c>
    </row>
    <row r="88" customFormat="false" ht="14.25" hidden="false" customHeight="true" outlineLevel="0" collapsed="false">
      <c r="G88" s="1" t="n">
        <v>87</v>
      </c>
    </row>
    <row r="89" customFormat="false" ht="14.25" hidden="false" customHeight="true" outlineLevel="0" collapsed="false">
      <c r="G89" s="1" t="n">
        <v>88</v>
      </c>
    </row>
    <row r="90" customFormat="false" ht="14.25" hidden="false" customHeight="true" outlineLevel="0" collapsed="false">
      <c r="G90" s="1" t="n">
        <v>89</v>
      </c>
    </row>
    <row r="91" customFormat="false" ht="14.25" hidden="false" customHeight="true" outlineLevel="0" collapsed="false">
      <c r="G91" s="1" t="n">
        <v>90</v>
      </c>
    </row>
    <row r="92" customFormat="false" ht="14.25" hidden="false" customHeight="true" outlineLevel="0" collapsed="false">
      <c r="G92" s="1" t="n">
        <v>91</v>
      </c>
    </row>
    <row r="93" customFormat="false" ht="14.25" hidden="false" customHeight="true" outlineLevel="0" collapsed="false">
      <c r="G93" s="1" t="n">
        <v>92</v>
      </c>
    </row>
    <row r="94" customFormat="false" ht="14.25" hidden="false" customHeight="true" outlineLevel="0" collapsed="false">
      <c r="G94" s="1" t="n">
        <v>93</v>
      </c>
    </row>
    <row r="95" customFormat="false" ht="14.25" hidden="false" customHeight="true" outlineLevel="0" collapsed="false">
      <c r="G95" s="1" t="n">
        <v>94</v>
      </c>
    </row>
    <row r="96" customFormat="false" ht="14.25" hidden="false" customHeight="true" outlineLevel="0" collapsed="false">
      <c r="G96" s="1" t="n">
        <v>95</v>
      </c>
    </row>
    <row r="97" customFormat="false" ht="14.25" hidden="false" customHeight="true" outlineLevel="0" collapsed="false">
      <c r="G97" s="1" t="n">
        <v>96</v>
      </c>
    </row>
    <row r="98" customFormat="false" ht="14.25" hidden="false" customHeight="true" outlineLevel="0" collapsed="false">
      <c r="G98" s="1" t="n">
        <v>97</v>
      </c>
    </row>
    <row r="99" customFormat="false" ht="14.25" hidden="false" customHeight="true" outlineLevel="0" collapsed="false">
      <c r="G99" s="1" t="n">
        <v>98</v>
      </c>
    </row>
    <row r="100" customFormat="false" ht="14.25" hidden="false" customHeight="true" outlineLevel="0" collapsed="false">
      <c r="G100" s="1" t="n">
        <v>99</v>
      </c>
    </row>
    <row r="101" customFormat="false" ht="14.25" hidden="false" customHeight="true" outlineLevel="0" collapsed="false">
      <c r="G101" s="1" t="n">
        <v>100</v>
      </c>
    </row>
    <row r="102" customFormat="false" ht="14.25" hidden="false" customHeight="true" outlineLevel="0" collapsed="false">
      <c r="G102" s="1" t="n">
        <v>101</v>
      </c>
    </row>
    <row r="103" customFormat="false" ht="14.25" hidden="false" customHeight="true" outlineLevel="0" collapsed="false">
      <c r="G103" s="1" t="n">
        <v>102</v>
      </c>
    </row>
    <row r="104" customFormat="false" ht="14.25" hidden="false" customHeight="true" outlineLevel="0" collapsed="false">
      <c r="G104" s="1" t="n">
        <v>103</v>
      </c>
    </row>
    <row r="105" customFormat="false" ht="14.25" hidden="false" customHeight="true" outlineLevel="0" collapsed="false">
      <c r="G105" s="1" t="n">
        <v>104</v>
      </c>
    </row>
    <row r="106" customFormat="false" ht="14.25" hidden="false" customHeight="true" outlineLevel="0" collapsed="false">
      <c r="G106" s="1" t="n">
        <v>105</v>
      </c>
    </row>
    <row r="107" customFormat="false" ht="14.25" hidden="false" customHeight="true" outlineLevel="0" collapsed="false">
      <c r="G107" s="1" t="n">
        <v>106</v>
      </c>
    </row>
    <row r="108" customFormat="false" ht="14.25" hidden="false" customHeight="true" outlineLevel="0" collapsed="false">
      <c r="G108" s="1" t="n">
        <v>107</v>
      </c>
    </row>
    <row r="109" customFormat="false" ht="14.25" hidden="false" customHeight="true" outlineLevel="0" collapsed="false">
      <c r="G109" s="1" t="n">
        <v>108</v>
      </c>
    </row>
    <row r="110" customFormat="false" ht="14.25" hidden="false" customHeight="true" outlineLevel="0" collapsed="false">
      <c r="G110" s="1" t="n">
        <v>109</v>
      </c>
    </row>
    <row r="111" customFormat="false" ht="14.25" hidden="false" customHeight="true" outlineLevel="0" collapsed="false">
      <c r="G111" s="1" t="n">
        <v>110</v>
      </c>
    </row>
    <row r="112" customFormat="false" ht="14.25" hidden="false" customHeight="true" outlineLevel="0" collapsed="false">
      <c r="G112" s="1" t="n">
        <v>111</v>
      </c>
    </row>
    <row r="113" customFormat="false" ht="14.25" hidden="false" customHeight="true" outlineLevel="0" collapsed="false">
      <c r="G113" s="1" t="n">
        <v>112</v>
      </c>
    </row>
    <row r="114" customFormat="false" ht="14.25" hidden="false" customHeight="true" outlineLevel="0" collapsed="false">
      <c r="G114" s="1" t="n">
        <v>113</v>
      </c>
    </row>
    <row r="115" customFormat="false" ht="14.25" hidden="false" customHeight="true" outlineLevel="0" collapsed="false">
      <c r="G115" s="1" t="n">
        <v>114</v>
      </c>
    </row>
    <row r="116" customFormat="false" ht="14.25" hidden="false" customHeight="true" outlineLevel="0" collapsed="false">
      <c r="G116" s="1" t="n">
        <v>115</v>
      </c>
    </row>
    <row r="117" customFormat="false" ht="14.25" hidden="false" customHeight="true" outlineLevel="0" collapsed="false">
      <c r="G117" s="1" t="n">
        <v>116</v>
      </c>
    </row>
    <row r="118" customFormat="false" ht="14.25" hidden="false" customHeight="true" outlineLevel="0" collapsed="false">
      <c r="G118" s="1" t="n">
        <v>117</v>
      </c>
    </row>
  </sheetData>
  <conditionalFormatting sqref="F2">
    <cfRule type="duplicateValues" priority="2" aboveAverage="0" equalAverage="0" bottom="0" percent="0" rank="0" text="" dxfId="4"/>
  </conditionalFormatting>
  <printOptions headings="false" gridLines="false" gridLinesSet="true" horizontalCentered="false" verticalCentered="false"/>
  <pageMargins left="0.7" right="0.7" top="0.75" bottom="0.75" header="0.511811023622047" footer="0.3"/>
  <pageSetup paperSize="9" scale="100" fitToWidth="1" fitToHeight="1" pageOrder="downThenOver" orientation="portrait" blackAndWhite="false" draft="false" cellComments="none" horizontalDpi="300" verticalDpi="300" copies="1"/>
  <headerFooter differentFirst="false" differentOddEven="false">
    <oddHeader/>
    <oddFooter>&amp;L&amp;10 _x005F_x000d_# Classification: Western Union Unrestricted Internal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Q46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A2" activeCellId="0" sqref="A2"/>
    </sheetView>
  </sheetViews>
  <sheetFormatPr defaultColWidth="8.6796875" defaultRowHeight="14.25" zeroHeight="false" outlineLevelRow="0" outlineLevelCol="0"/>
  <cols>
    <col collapsed="false" customWidth="true" hidden="false" outlineLevel="0" max="1" min="1" style="1" width="14.09"/>
    <col collapsed="false" customWidth="true" hidden="false" outlineLevel="0" max="2" min="2" style="1" width="14"/>
    <col collapsed="false" customWidth="true" hidden="false" outlineLevel="0" max="3" min="3" style="25" width="16.18"/>
    <col collapsed="false" customWidth="true" hidden="false" outlineLevel="0" max="4" min="4" style="1" width="16.36"/>
    <col collapsed="false" customWidth="true" hidden="false" outlineLevel="0" max="5" min="5" style="1" width="9.45"/>
    <col collapsed="false" customWidth="true" hidden="false" outlineLevel="0" max="6" min="6" style="1" width="12.82"/>
    <col collapsed="false" customWidth="true" hidden="false" outlineLevel="0" max="7" min="7" style="1" width="11.09"/>
    <col collapsed="false" customWidth="true" hidden="false" outlineLevel="0" max="8" min="8" style="1" width="13.63"/>
    <col collapsed="false" customWidth="true" hidden="false" outlineLevel="0" max="9" min="9" style="1" width="7.54"/>
    <col collapsed="false" customWidth="true" hidden="false" outlineLevel="0" max="10" min="10" style="1" width="8.36"/>
    <col collapsed="false" customWidth="true" hidden="false" outlineLevel="0" max="11" min="11" style="1" width="16.54"/>
    <col collapsed="false" customWidth="true" hidden="false" outlineLevel="0" max="12" min="12" style="1" width="39.18"/>
    <col collapsed="false" customWidth="true" hidden="false" outlineLevel="0" max="13" min="13" style="1" width="42.36"/>
    <col collapsed="false" customWidth="true" hidden="false" outlineLevel="0" max="14" min="14" style="1" width="28.18"/>
    <col collapsed="false" customWidth="true" hidden="false" outlineLevel="0" max="15" min="15" style="1" width="27.54"/>
    <col collapsed="false" customWidth="true" hidden="false" outlineLevel="0" max="16" min="16" style="1" width="22.63"/>
    <col collapsed="false" customWidth="true" hidden="false" outlineLevel="0" max="17" min="17" style="1" width="9.63"/>
    <col collapsed="false" customWidth="true" hidden="false" outlineLevel="0" max="18" min="18" style="1" width="11"/>
    <col collapsed="false" customWidth="true" hidden="false" outlineLevel="0" max="19" min="19" style="1" width="8.45"/>
    <col collapsed="false" customWidth="true" hidden="false" outlineLevel="0" max="20" min="20" style="1" width="8"/>
    <col collapsed="false" customWidth="true" hidden="false" outlineLevel="0" max="21" min="21" style="1" width="8.18"/>
    <col collapsed="false" customWidth="true" hidden="false" outlineLevel="0" max="22" min="22" style="1" width="12.63"/>
    <col collapsed="false" customWidth="true" hidden="false" outlineLevel="0" max="23" min="23" style="1" width="17.36"/>
    <col collapsed="false" customWidth="true" hidden="false" outlineLevel="0" max="24" min="24" style="1" width="46.91"/>
    <col collapsed="false" customWidth="true" hidden="false" outlineLevel="0" max="25" min="25" style="1" width="45.54"/>
    <col collapsed="false" customWidth="true" hidden="false" outlineLevel="0" max="26" min="26" style="1" width="10.18"/>
    <col collapsed="false" customWidth="true" hidden="false" outlineLevel="0" max="27" min="27" style="1" width="35.45"/>
    <col collapsed="false" customWidth="true" hidden="false" outlineLevel="0" max="28" min="28" style="1" width="26.91"/>
    <col collapsed="false" customWidth="true" hidden="false" outlineLevel="0" max="29" min="29" style="1" width="26.82"/>
    <col collapsed="false" customWidth="true" hidden="false" outlineLevel="0" max="30" min="30" style="1" width="21.36"/>
    <col collapsed="false" customWidth="true" hidden="false" outlineLevel="0" max="31" min="31" style="1" width="21.45"/>
    <col collapsed="false" customWidth="true" hidden="false" outlineLevel="0" max="32" min="32" style="1" width="11.09"/>
    <col collapsed="false" customWidth="true" hidden="false" outlineLevel="0" max="33" min="33" style="1" width="8.54"/>
    <col collapsed="false" customWidth="true" hidden="false" outlineLevel="0" max="34" min="34" style="1" width="16.91"/>
    <col collapsed="false" customWidth="true" hidden="false" outlineLevel="0" max="35" min="35" style="1" width="37.91"/>
    <col collapsed="false" customWidth="true" hidden="false" outlineLevel="0" max="58" min="36" style="1" width="20.54"/>
    <col collapsed="false" customWidth="true" hidden="false" outlineLevel="0" max="59" min="59" style="1" width="17.63"/>
    <col collapsed="false" customWidth="true" hidden="false" outlineLevel="0" max="60" min="60" style="1" width="37.18"/>
    <col collapsed="false" customWidth="true" hidden="false" outlineLevel="0" max="61" min="61" style="1" width="38.36"/>
    <col collapsed="false" customWidth="true" hidden="false" outlineLevel="0" max="62" min="62" style="1" width="16.91"/>
    <col collapsed="false" customWidth="true" hidden="false" outlineLevel="0" max="63" min="63" style="1" width="17"/>
    <col collapsed="false" customWidth="true" hidden="false" outlineLevel="0" max="64" min="64" style="1" width="53.54"/>
    <col collapsed="false" customWidth="true" hidden="false" outlineLevel="0" max="65" min="65" style="1" width="45.91"/>
    <col collapsed="false" customWidth="true" hidden="false" outlineLevel="0" max="66" min="66" style="1" width="50.45"/>
    <col collapsed="false" customWidth="true" hidden="false" outlineLevel="0" max="67" min="67" style="1" width="15.36"/>
    <col collapsed="false" customWidth="true" hidden="false" outlineLevel="0" max="68" min="68" style="1" width="17.63"/>
    <col collapsed="false" customWidth="true" hidden="false" outlineLevel="0" max="69" min="69" style="1" width="6.91"/>
    <col collapsed="false" customWidth="true" hidden="false" outlineLevel="0" max="70" min="70" style="1" width="14.09"/>
    <col collapsed="false" customWidth="true" hidden="false" outlineLevel="0" max="71" min="71" style="1" width="16.54"/>
    <col collapsed="false" customWidth="true" hidden="false" outlineLevel="0" max="72" min="72" style="1" width="52.82"/>
    <col collapsed="false" customWidth="true" hidden="false" outlineLevel="0" max="73" min="73" style="1" width="7.18"/>
    <col collapsed="false" customWidth="true" hidden="false" outlineLevel="0" max="74" min="74" style="1" width="6"/>
    <col collapsed="false" customWidth="true" hidden="false" outlineLevel="0" max="75" min="75" style="1" width="7.36"/>
    <col collapsed="false" customWidth="true" hidden="false" outlineLevel="0" max="76" min="76" style="1" width="49.36"/>
    <col collapsed="false" customWidth="true" hidden="false" outlineLevel="0" max="77" min="77" style="1" width="41.54"/>
    <col collapsed="false" customWidth="true" hidden="false" outlineLevel="0" max="79" min="78" style="1" width="57.09"/>
    <col collapsed="false" customWidth="true" hidden="false" outlineLevel="0" max="80" min="80" style="1" width="7.54"/>
    <col collapsed="false" customWidth="true" hidden="false" outlineLevel="0" max="81" min="81" style="1" width="90.36"/>
    <col collapsed="false" customWidth="true" hidden="false" outlineLevel="0" max="82" min="82" style="1" width="13.36"/>
    <col collapsed="false" customWidth="true" hidden="false" outlineLevel="0" max="83" min="83" style="1" width="16.54"/>
    <col collapsed="false" customWidth="true" hidden="false" outlineLevel="0" max="84" min="84" style="1" width="33.18"/>
    <col collapsed="false" customWidth="true" hidden="false" outlineLevel="0" max="85" min="85" style="1" width="10.63"/>
    <col collapsed="false" customWidth="true" hidden="false" outlineLevel="0" max="86" min="86" style="1" width="14.54"/>
    <col collapsed="false" customWidth="true" hidden="false" outlineLevel="0" max="87" min="87" style="1" width="10.36"/>
    <col collapsed="false" customWidth="true" hidden="false" outlineLevel="0" max="88" min="88" style="1" width="11.91"/>
    <col collapsed="false" customWidth="true" hidden="false" outlineLevel="0" max="89" min="89" style="1" width="27.36"/>
    <col collapsed="false" customWidth="true" hidden="false" outlineLevel="0" max="91" min="90" style="1" width="5.09"/>
    <col collapsed="false" customWidth="true" hidden="false" outlineLevel="0" max="92" min="92" style="1" width="15.63"/>
    <col collapsed="false" customWidth="true" hidden="false" outlineLevel="0" max="93" min="93" style="1" width="20.91"/>
    <col collapsed="false" customWidth="true" hidden="false" outlineLevel="0" max="94" min="94" style="50" width="14.54"/>
    <col collapsed="false" customWidth="true" hidden="false" outlineLevel="0" max="95" min="95" style="1" width="33.45"/>
    <col collapsed="false" customWidth="true" hidden="false" outlineLevel="0" max="96" min="96" style="1" width="34.45"/>
  </cols>
  <sheetData>
    <row r="1" customFormat="false" ht="14.25" hidden="false" customHeight="true" outlineLevel="0" collapsed="false">
      <c r="A1" s="27" t="s">
        <v>373</v>
      </c>
      <c r="B1" s="27" t="s">
        <v>241</v>
      </c>
      <c r="C1" s="51" t="s">
        <v>243</v>
      </c>
      <c r="D1" s="27" t="s">
        <v>245</v>
      </c>
      <c r="E1" s="27" t="s">
        <v>247</v>
      </c>
      <c r="F1" s="27" t="s">
        <v>249</v>
      </c>
      <c r="G1" s="27" t="s">
        <v>251</v>
      </c>
      <c r="H1" s="27" t="s">
        <v>253</v>
      </c>
      <c r="I1" s="27" t="s">
        <v>255</v>
      </c>
      <c r="J1" s="27" t="s">
        <v>257</v>
      </c>
      <c r="K1" s="27" t="s">
        <v>258</v>
      </c>
      <c r="L1" s="27" t="s">
        <v>260</v>
      </c>
      <c r="M1" s="27" t="s">
        <v>262</v>
      </c>
      <c r="N1" s="27" t="s">
        <v>264</v>
      </c>
      <c r="O1" s="27" t="s">
        <v>265</v>
      </c>
      <c r="P1" s="27" t="s">
        <v>267</v>
      </c>
      <c r="Q1" s="27" t="s">
        <v>268</v>
      </c>
      <c r="R1" s="27" t="s">
        <v>269</v>
      </c>
      <c r="S1" s="27" t="s">
        <v>270</v>
      </c>
      <c r="T1" s="27" t="s">
        <v>271</v>
      </c>
      <c r="U1" s="27" t="s">
        <v>273</v>
      </c>
      <c r="V1" s="27" t="s">
        <v>275</v>
      </c>
      <c r="W1" s="27" t="s">
        <v>277</v>
      </c>
      <c r="X1" s="27" t="s">
        <v>278</v>
      </c>
      <c r="Y1" s="27" t="s">
        <v>279</v>
      </c>
      <c r="Z1" s="27" t="s">
        <v>281</v>
      </c>
      <c r="AA1" s="27" t="s">
        <v>283</v>
      </c>
      <c r="AB1" s="27" t="s">
        <v>285</v>
      </c>
      <c r="AC1" s="27" t="s">
        <v>286</v>
      </c>
      <c r="AD1" s="27" t="s">
        <v>287</v>
      </c>
      <c r="AE1" s="27" t="s">
        <v>289</v>
      </c>
      <c r="AF1" s="27" t="s">
        <v>291</v>
      </c>
      <c r="AG1" s="27" t="s">
        <v>293</v>
      </c>
      <c r="AH1" s="27" t="s">
        <v>294</v>
      </c>
      <c r="AI1" s="27" t="s">
        <v>296</v>
      </c>
      <c r="AJ1" s="27" t="s">
        <v>297</v>
      </c>
      <c r="AK1" s="27" t="s">
        <v>298</v>
      </c>
      <c r="AL1" s="27" t="s">
        <v>299</v>
      </c>
      <c r="AM1" s="27" t="s">
        <v>301</v>
      </c>
      <c r="AN1" s="27" t="s">
        <v>303</v>
      </c>
      <c r="AO1" s="27" t="s">
        <v>304</v>
      </c>
      <c r="AP1" s="27" t="s">
        <v>305</v>
      </c>
      <c r="AQ1" s="27" t="s">
        <v>306</v>
      </c>
      <c r="AR1" s="27" t="s">
        <v>307</v>
      </c>
      <c r="AS1" s="27" t="s">
        <v>308</v>
      </c>
      <c r="AT1" s="27" t="s">
        <v>309</v>
      </c>
      <c r="AU1" s="27" t="s">
        <v>310</v>
      </c>
      <c r="AV1" s="27" t="s">
        <v>311</v>
      </c>
      <c r="AW1" s="27" t="s">
        <v>312</v>
      </c>
      <c r="AX1" s="27" t="s">
        <v>313</v>
      </c>
      <c r="AY1" s="27" t="s">
        <v>314</v>
      </c>
      <c r="AZ1" s="27" t="s">
        <v>315</v>
      </c>
      <c r="BA1" s="27" t="s">
        <v>316</v>
      </c>
      <c r="BB1" s="27" t="s">
        <v>317</v>
      </c>
      <c r="BC1" s="27" t="s">
        <v>318</v>
      </c>
      <c r="BD1" s="27" t="s">
        <v>319</v>
      </c>
      <c r="BE1" s="27" t="s">
        <v>320</v>
      </c>
      <c r="BF1" s="27" t="s">
        <v>321</v>
      </c>
      <c r="BG1" s="27" t="s">
        <v>322</v>
      </c>
      <c r="BH1" s="27" t="s">
        <v>323</v>
      </c>
      <c r="BI1" s="27" t="s">
        <v>324</v>
      </c>
      <c r="BJ1" s="27" t="s">
        <v>261</v>
      </c>
      <c r="BK1" s="27" t="s">
        <v>263</v>
      </c>
      <c r="BL1" s="27" t="s">
        <v>325</v>
      </c>
      <c r="BM1" s="27" t="s">
        <v>326</v>
      </c>
      <c r="BN1" s="27" t="s">
        <v>327</v>
      </c>
      <c r="BO1" s="27" t="s">
        <v>274</v>
      </c>
      <c r="BP1" s="27" t="s">
        <v>328</v>
      </c>
      <c r="BQ1" s="27" t="s">
        <v>329</v>
      </c>
      <c r="BR1" s="27" t="s">
        <v>330</v>
      </c>
      <c r="BS1" s="27" t="s">
        <v>331</v>
      </c>
      <c r="BT1" s="27" t="s">
        <v>332</v>
      </c>
      <c r="BU1" s="27" t="s">
        <v>333</v>
      </c>
      <c r="BV1" s="27" t="s">
        <v>334</v>
      </c>
      <c r="BW1" s="27" t="s">
        <v>335</v>
      </c>
      <c r="BX1" s="27" t="s">
        <v>336</v>
      </c>
      <c r="BY1" s="27" t="s">
        <v>337</v>
      </c>
      <c r="BZ1" s="27" t="s">
        <v>338</v>
      </c>
      <c r="CA1" s="27" t="s">
        <v>339</v>
      </c>
      <c r="CB1" s="27" t="s">
        <v>340</v>
      </c>
      <c r="CC1" s="27" t="s">
        <v>341</v>
      </c>
      <c r="CD1" s="27" t="s">
        <v>342</v>
      </c>
      <c r="CE1" s="27" t="s">
        <v>343</v>
      </c>
      <c r="CF1" s="27" t="s">
        <v>344</v>
      </c>
      <c r="CG1" s="27" t="s">
        <v>345</v>
      </c>
      <c r="CH1" s="27" t="s">
        <v>346</v>
      </c>
      <c r="CI1" s="27" t="s">
        <v>347</v>
      </c>
      <c r="CJ1" s="27" t="s">
        <v>348</v>
      </c>
      <c r="CK1" s="27" t="s">
        <v>349</v>
      </c>
      <c r="CL1" s="27" t="s">
        <v>350</v>
      </c>
      <c r="CM1" s="27" t="s">
        <v>351</v>
      </c>
      <c r="CN1" s="27" t="s">
        <v>352</v>
      </c>
      <c r="CO1" s="27" t="s">
        <v>353</v>
      </c>
      <c r="CP1" s="52" t="s">
        <v>354</v>
      </c>
      <c r="CQ1" s="27" t="s">
        <v>374</v>
      </c>
    </row>
    <row r="2" s="53" customFormat="true" ht="13.5" hidden="false" customHeight="true" outlineLevel="0" collapsed="false">
      <c r="C2" s="54"/>
      <c r="K2" s="55"/>
      <c r="CK2" s="53" t="str">
        <f aca="false">IF($B2="","",IF(OR(COUNTIF($B:$B,$B2)&gt;1,COUNTIF($K:$K,$K2)&gt;1),"Duplicate",""))</f>
        <v/>
      </c>
      <c r="CP2" s="56"/>
    </row>
    <row r="3" s="53" customFormat="true" ht="13.5" hidden="false" customHeight="true" outlineLevel="0" collapsed="false">
      <c r="C3" s="54"/>
      <c r="K3" s="55"/>
      <c r="CK3" s="53" t="str">
        <f aca="false">IF($B3="","",IF(OR(COUNTIF($B:$B,$B3)&gt;1,COUNTIF($K:$K,$K3)&gt;1),"Duplicate",""))</f>
        <v/>
      </c>
      <c r="CP3" s="56"/>
    </row>
    <row r="4" s="53" customFormat="true" ht="13.5" hidden="false" customHeight="true" outlineLevel="0" collapsed="false">
      <c r="C4" s="54"/>
      <c r="K4" s="55"/>
      <c r="CK4" s="53" t="str">
        <f aca="false">IF($B4="","",IF(OR(COUNTIF($B:$B,$B4)&gt;1,COUNTIF($K:$K,$K4)&gt;1),"Duplicate",""))</f>
        <v/>
      </c>
      <c r="CP4" s="56"/>
    </row>
    <row r="5" s="53" customFormat="true" ht="13.5" hidden="false" customHeight="true" outlineLevel="0" collapsed="false">
      <c r="C5" s="54"/>
      <c r="K5" s="55"/>
      <c r="BX5" s="57"/>
      <c r="BY5" s="57"/>
      <c r="CK5" s="53" t="str">
        <f aca="false">IF($B5="","",IF(OR(COUNTIF($B:$B,$B5)&gt;1,COUNTIF($K:$K,$K5)&gt;1),"Duplicate",""))</f>
        <v/>
      </c>
      <c r="CP5" s="56"/>
    </row>
    <row r="6" s="53" customFormat="true" ht="13.5" hidden="false" customHeight="true" outlineLevel="0" collapsed="false">
      <c r="C6" s="54"/>
      <c r="K6" s="55"/>
      <c r="CK6" s="53" t="str">
        <f aca="false">IF($B6="","",IF(OR(COUNTIF($B:$B,$B6)&gt;1,COUNTIF($K:$K,$K6)&gt;1),"Duplicate",""))</f>
        <v/>
      </c>
      <c r="CP6" s="56"/>
    </row>
    <row r="7" s="53" customFormat="true" ht="13.5" hidden="false" customHeight="true" outlineLevel="0" collapsed="false">
      <c r="C7" s="54"/>
      <c r="K7" s="55"/>
      <c r="CK7" s="53" t="str">
        <f aca="false">IF($B7="","",IF(OR(COUNTIF($B:$B,$B7)&gt;1,COUNTIF($K:$K,$K7)&gt;1),"Duplicate",""))</f>
        <v/>
      </c>
      <c r="CP7" s="56"/>
    </row>
    <row r="8" s="53" customFormat="true" ht="14.25" hidden="false" customHeight="true" outlineLevel="0" collapsed="false">
      <c r="C8" s="54"/>
      <c r="K8" s="55"/>
      <c r="CK8" s="53" t="str">
        <f aca="false">IF($B8="","",IF(OR(COUNTIF($B:$B,$B8)&gt;1,COUNTIF($K:$K,$K8)&gt;1),"Duplicate",""))</f>
        <v/>
      </c>
      <c r="CP8" s="56"/>
    </row>
    <row r="9" s="53" customFormat="true" ht="14.25" hidden="false" customHeight="true" outlineLevel="0" collapsed="false">
      <c r="C9" s="54"/>
      <c r="K9" s="55"/>
      <c r="CK9" s="53" t="str">
        <f aca="false">IF($B9="","",IF(OR(COUNTIF($B:$B,$B9)&gt;1,COUNTIF($K:$K,$K9)&gt;1),"Duplicate",""))</f>
        <v/>
      </c>
      <c r="CP9" s="56"/>
    </row>
    <row r="10" s="53" customFormat="true" ht="14.25" hidden="false" customHeight="true" outlineLevel="0" collapsed="false">
      <c r="C10" s="54"/>
      <c r="K10" s="55"/>
      <c r="AI10" s="58"/>
      <c r="CK10" s="53" t="str">
        <f aca="false">IF($B10="","",IF(OR(COUNTIF($B:$B,$B10)&gt;1,COUNTIF($K:$K,$K10)&gt;1),"Duplicate",""))</f>
        <v/>
      </c>
      <c r="CP10" s="56"/>
    </row>
    <row r="11" s="53" customFormat="true" ht="14.25" hidden="false" customHeight="true" outlineLevel="0" collapsed="false">
      <c r="C11" s="54"/>
      <c r="K11" s="55"/>
      <c r="CK11" s="53" t="str">
        <f aca="false">IF($B11="","",IF(OR(COUNTIF($B:$B,$B11)&gt;1,COUNTIF($K:$K,$K11)&gt;1),"Duplicate",""))</f>
        <v/>
      </c>
      <c r="CP11" s="56"/>
    </row>
    <row r="12" s="53" customFormat="true" ht="14.25" hidden="false" customHeight="true" outlineLevel="0" collapsed="false">
      <c r="C12" s="54"/>
      <c r="K12" s="55"/>
      <c r="CK12" s="53" t="str">
        <f aca="false">IF($B12="","",IF(OR(COUNTIF($B:$B,$B12)&gt;1,COUNTIF($K:$K,$K12)&gt;1),"Duplicate",""))</f>
        <v/>
      </c>
      <c r="CP12" s="56"/>
    </row>
    <row r="13" s="53" customFormat="true" ht="14.25" hidden="false" customHeight="true" outlineLevel="0" collapsed="false">
      <c r="C13" s="54"/>
      <c r="K13" s="55"/>
      <c r="CK13" s="53" t="str">
        <f aca="false">IF($B13="","",IF(OR(COUNTIF($B:$B,$B13)&gt;1,COUNTIF($K:$K,$K13)&gt;1),"Duplicate",""))</f>
        <v/>
      </c>
      <c r="CP13" s="56"/>
    </row>
    <row r="14" s="53" customFormat="true" ht="12" hidden="false" customHeight="true" outlineLevel="0" collapsed="false">
      <c r="C14" s="54"/>
      <c r="K14" s="55"/>
      <c r="CK14" s="53" t="str">
        <f aca="false">IF($B14="","",IF(OR(COUNTIF($B:$B,$B14)&gt;1,COUNTIF($K:$K,$K14)&gt;1),"Duplicate",""))</f>
        <v/>
      </c>
      <c r="CP14" s="56"/>
    </row>
    <row r="15" s="53" customFormat="true" ht="14.25" hidden="false" customHeight="true" outlineLevel="0" collapsed="false">
      <c r="C15" s="25"/>
      <c r="K15" s="19"/>
      <c r="CK15" s="53" t="str">
        <f aca="false">IF($B15="","",IF(OR(COUNTIF($B:$B,$B15)&gt;1,COUNTIF($K:$K,$K15)&gt;1),"Duplicate",""))</f>
        <v/>
      </c>
      <c r="CP15" s="50"/>
    </row>
    <row r="16" s="53" customFormat="true" ht="14.25" hidden="false" customHeight="true" outlineLevel="0" collapsed="false">
      <c r="C16" s="25"/>
      <c r="K16" s="19"/>
      <c r="CK16" s="53" t="str">
        <f aca="false">IF($B16="","",IF(OR(COUNTIF($B:$B,$B16)&gt;1,COUNTIF($K:$K,$K16)&gt;1),"Duplicate",""))</f>
        <v/>
      </c>
      <c r="CP16" s="50"/>
    </row>
    <row r="17" customFormat="false" ht="14.25" hidden="false" customHeight="true" outlineLevel="0" collapsed="false">
      <c r="K17" s="19"/>
      <c r="CK17" s="1" t="str">
        <f aca="false">IF($B17="","",IF(OR(COUNTIF($B:$B,$B17)&gt;1,COUNTIF($K:$K,$K17)&gt;1),"Duplicate",""))</f>
        <v/>
      </c>
    </row>
    <row r="18" customFormat="false" ht="14.25" hidden="false" customHeight="true" outlineLevel="0" collapsed="false">
      <c r="K18" s="19"/>
      <c r="CK18" s="1" t="str">
        <f aca="false">IF($B18="","",IF(OR(COUNTIF($B:$B,$B18)&gt;1,COUNTIF($K:$K,$K18)&gt;1),"Duplicate",""))</f>
        <v/>
      </c>
    </row>
    <row r="19" customFormat="false" ht="14.25" hidden="false" customHeight="true" outlineLevel="0" collapsed="false">
      <c r="K19" s="19"/>
      <c r="CK19" s="1" t="str">
        <f aca="false">IF($B19="","",IF(OR(COUNTIF($B:$B,$B19)&gt;1,COUNTIF($K:$K,$K19)&gt;1),"Duplicate",""))</f>
        <v/>
      </c>
    </row>
    <row r="20" customFormat="false" ht="14.25" hidden="false" customHeight="true" outlineLevel="0" collapsed="false">
      <c r="K20" s="19"/>
      <c r="CK20" s="1" t="str">
        <f aca="false">IF($B20="","",IF(OR(COUNTIF($B:$B,$B20)&gt;1,COUNTIF($K:$K,$K20)&gt;1),"Duplicate",""))</f>
        <v/>
      </c>
    </row>
    <row r="21" customFormat="false" ht="14.25" hidden="false" customHeight="true" outlineLevel="0" collapsed="false">
      <c r="K21" s="19"/>
      <c r="CK21" s="1" t="str">
        <f aca="false">IF($B21="","",IF(OR(COUNTIF($B:$B,$B21)&gt;1,COUNTIF($K:$K,$K21)&gt;1),"Duplicate",""))</f>
        <v/>
      </c>
    </row>
    <row r="22" customFormat="false" ht="14.25" hidden="false" customHeight="true" outlineLevel="0" collapsed="false">
      <c r="K22" s="19"/>
      <c r="CK22" s="1" t="str">
        <f aca="false">IF($B22="","",IF(OR(COUNTIF($B:$B,$B22)&gt;1,COUNTIF($K:$K,$K22)&gt;1),"Duplicate",""))</f>
        <v/>
      </c>
    </row>
    <row r="23" s="53" customFormat="true" ht="14.25" hidden="false" customHeight="true" outlineLevel="0" collapsed="false">
      <c r="C23" s="54"/>
      <c r="K23" s="55"/>
      <c r="CK23" s="53" t="str">
        <f aca="false">IF($B23="","",IF(OR(COUNTIF($B:$B,$B23)&gt;1,COUNTIF($K:$K,$K23)&gt;1),"Duplicate",""))</f>
        <v/>
      </c>
      <c r="CP23" s="56"/>
    </row>
    <row r="24" customFormat="false" ht="14.25" hidden="false" customHeight="true" outlineLevel="0" collapsed="false">
      <c r="K24" s="19"/>
      <c r="CK24" s="1" t="str">
        <f aca="false">IF($B24="","",IF(OR(COUNTIF($B:$B,$B24)&gt;1,COUNTIF($K:$K,$K24)&gt;1),"Duplicate",""))</f>
        <v/>
      </c>
    </row>
    <row r="25" customFormat="false" ht="14.25" hidden="false" customHeight="true" outlineLevel="0" collapsed="false">
      <c r="K25" s="19"/>
      <c r="CK25" s="1" t="str">
        <f aca="false">IF($B25="","",IF(OR(COUNTIF($B:$B,$B25)&gt;1,COUNTIF($K:$K,$K25)&gt;1),"Duplicate",""))</f>
        <v/>
      </c>
    </row>
    <row r="26" customFormat="false" ht="14.25" hidden="false" customHeight="true" outlineLevel="0" collapsed="false">
      <c r="K26" s="19"/>
      <c r="CK26" s="1" t="str">
        <f aca="false">IF($B26="","",IF(OR(COUNTIF($B:$B,$B26)&gt;1,COUNTIF($K:$K,$K26)&gt;1),"Duplicate",""))</f>
        <v/>
      </c>
    </row>
    <row r="27" customFormat="false" ht="14.25" hidden="false" customHeight="true" outlineLevel="0" collapsed="false">
      <c r="K27" s="19"/>
      <c r="CK27" s="1" t="str">
        <f aca="false">IF($B27="","",IF(OR(COUNTIF($B:$B,$B27)&gt;1,COUNTIF($K:$K,$K27)&gt;1),"Duplicate",""))</f>
        <v/>
      </c>
    </row>
    <row r="28" customFormat="false" ht="14.25" hidden="false" customHeight="true" outlineLevel="0" collapsed="false">
      <c r="K28" s="19"/>
      <c r="CK28" s="1" t="str">
        <f aca="false">IF($B28="","",IF(OR(COUNTIF($B:$B,$B28)&gt;1,COUNTIF($K:$K,$K28)&gt;1),"Duplicate",""))</f>
        <v/>
      </c>
    </row>
    <row r="29" customFormat="false" ht="14.25" hidden="false" customHeight="true" outlineLevel="0" collapsed="false">
      <c r="K29" s="19"/>
      <c r="CK29" s="1" t="str">
        <f aca="false">IF($B29="","",IF(OR(COUNTIF($B:$B,$B29)&gt;1,COUNTIF($K:$K,$K29)&gt;1),"Duplicate",""))</f>
        <v/>
      </c>
    </row>
    <row r="30" customFormat="false" ht="14.25" hidden="false" customHeight="true" outlineLevel="0" collapsed="false">
      <c r="K30" s="19"/>
      <c r="CK30" s="1" t="str">
        <f aca="false">IF($B30="","",IF(OR(COUNTIF($B:$B,$B30)&gt;1,COUNTIF($K:$K,$K30)&gt;1),"Duplicate",""))</f>
        <v/>
      </c>
    </row>
    <row r="31" customFormat="false" ht="14.25" hidden="false" customHeight="true" outlineLevel="0" collapsed="false">
      <c r="K31" s="19"/>
      <c r="CK31" s="1" t="str">
        <f aca="false">IF($B31="","",IF(OR(COUNTIF($B:$B,$B31)&gt;1,COUNTIF($K:$K,$K31)&gt;1),"Duplicate",""))</f>
        <v/>
      </c>
    </row>
    <row r="32" customFormat="false" ht="14.25" hidden="false" customHeight="true" outlineLevel="0" collapsed="false">
      <c r="K32" s="19"/>
      <c r="CK32" s="1" t="str">
        <f aca="false">IF($B32="","",IF(OR(COUNTIF($B:$B,$B32)&gt;1,COUNTIF($K:$K,$K32)&gt;1),"Duplicate",""))</f>
        <v/>
      </c>
    </row>
    <row r="33" customFormat="false" ht="14.25" hidden="false" customHeight="true" outlineLevel="0" collapsed="false">
      <c r="K33" s="19"/>
      <c r="CK33" s="1" t="str">
        <f aca="false">IF($B33="","",IF(OR(COUNTIF($B:$B,$B33)&gt;1,COUNTIF($K:$K,$K33)&gt;1),"Duplicate",""))</f>
        <v/>
      </c>
    </row>
    <row r="34" customFormat="false" ht="14.25" hidden="false" customHeight="true" outlineLevel="0" collapsed="false">
      <c r="K34" s="19"/>
      <c r="CK34" s="1" t="str">
        <f aca="false">IF($B34="","",IF(OR(COUNTIF($B:$B,$B34)&gt;1,COUNTIF($K:$K,$K34)&gt;1),"Duplicate",""))</f>
        <v/>
      </c>
    </row>
    <row r="35" customFormat="false" ht="14.25" hidden="false" customHeight="true" outlineLevel="0" collapsed="false">
      <c r="K35" s="19"/>
      <c r="CK35" s="1" t="str">
        <f aca="false">IF($B35="","",IF(OR(COUNTIF($B:$B,$B35)&gt;1,COUNTIF($K:$K,$K35)&gt;1),"Duplicate",""))</f>
        <v/>
      </c>
    </row>
    <row r="36" customFormat="false" ht="14.25" hidden="false" customHeight="true" outlineLevel="0" collapsed="false">
      <c r="K36" s="19"/>
      <c r="CK36" s="1" t="str">
        <f aca="false">IF($B36="","",IF(OR(COUNTIF($B:$B,$B36)&gt;1,COUNTIF($K:$K,$K36)&gt;1),"Duplicate",""))</f>
        <v/>
      </c>
    </row>
    <row r="37" customFormat="false" ht="14.25" hidden="false" customHeight="true" outlineLevel="0" collapsed="false">
      <c r="K37" s="19"/>
      <c r="CK37" s="1" t="str">
        <f aca="false">IF($B37="","",IF(OR(COUNTIF($B:$B,$B37)&gt;1,COUNTIF($K:$K,$K37)&gt;1),"Duplicate",""))</f>
        <v/>
      </c>
    </row>
    <row r="38" customFormat="false" ht="14.25" hidden="false" customHeight="true" outlineLevel="0" collapsed="false">
      <c r="K38" s="19"/>
      <c r="CK38" s="1" t="str">
        <f aca="false">IF($B38="","",IF(OR(COUNTIF($B:$B,$B38)&gt;1,COUNTIF($K:$K,$K38)&gt;1),"Duplicate",""))</f>
        <v/>
      </c>
    </row>
    <row r="39" customFormat="false" ht="14.25" hidden="false" customHeight="true" outlineLevel="0" collapsed="false">
      <c r="K39" s="19"/>
      <c r="CK39" s="1" t="str">
        <f aca="false">IF($B39="","",IF(OR(COUNTIF($B:$B,$B39)&gt;1,COUNTIF($K:$K,$K39)&gt;1),"Duplicate",""))</f>
        <v/>
      </c>
    </row>
    <row r="40" customFormat="false" ht="14.25" hidden="false" customHeight="true" outlineLevel="0" collapsed="false">
      <c r="K40" s="19"/>
      <c r="CK40" s="1" t="str">
        <f aca="false">IF($B40="","",IF(OR(COUNTIF($B:$B,$B40)&gt;1,COUNTIF($K:$K,$K40)&gt;1),"Duplicate",""))</f>
        <v/>
      </c>
    </row>
    <row r="41" customFormat="false" ht="14.25" hidden="false" customHeight="true" outlineLevel="0" collapsed="false">
      <c r="K41" s="19"/>
      <c r="CK41" s="1" t="str">
        <f aca="false">IF($B41="","",IF(OR(COUNTIF($B:$B,$B41)&gt;1,COUNTIF($K:$K,$K41)&gt;1),"Duplicate",""))</f>
        <v/>
      </c>
    </row>
    <row r="42" customFormat="false" ht="14.25" hidden="false" customHeight="true" outlineLevel="0" collapsed="false">
      <c r="K42" s="19"/>
      <c r="CK42" s="1" t="str">
        <f aca="false">IF($B42="","",IF(OR(COUNTIF($B:$B,$B42)&gt;1,COUNTIF($K:$K,$K42)&gt;1),"Duplicate",""))</f>
        <v/>
      </c>
    </row>
    <row r="43" customFormat="false" ht="14.25" hidden="false" customHeight="true" outlineLevel="0" collapsed="false">
      <c r="K43" s="19"/>
      <c r="CK43" s="1" t="str">
        <f aca="false">IF($B43="","",IF(OR(COUNTIF($B:$B,$B43)&gt;1,COUNTIF($K:$K,$K43)&gt;1),"Duplicate",""))</f>
        <v/>
      </c>
    </row>
    <row r="44" customFormat="false" ht="14.25" hidden="false" customHeight="true" outlineLevel="0" collapsed="false">
      <c r="K44" s="19"/>
      <c r="CK44" s="1" t="str">
        <f aca="false">IF($B44="","",IF(OR(COUNTIF($B:$B,$B44)&gt;1,COUNTIF($K:$K,$K44)&gt;1),"Duplicate",""))</f>
        <v/>
      </c>
    </row>
    <row r="45" customFormat="false" ht="14.25" hidden="false" customHeight="true" outlineLevel="0" collapsed="false">
      <c r="K45" s="19"/>
      <c r="CK45" s="1" t="str">
        <f aca="false">IF($B45="","",IF(OR(COUNTIF($B:$B,$B45)&gt;1,COUNTIF($K:$K,$K45)&gt;1),"Duplicate",""))</f>
        <v/>
      </c>
    </row>
    <row r="46" customFormat="false" ht="14.25" hidden="false" customHeight="true" outlineLevel="0" collapsed="false">
      <c r="K46" s="19"/>
      <c r="CK46" s="1" t="str">
        <f aca="false">IF($B46="","",IF(OR(COUNTIF($B:$B,$B46)&gt;1,COUNTIF($K:$K,$K46)&gt;1),"Duplicate",""))</f>
        <v/>
      </c>
    </row>
    <row r="47" customFormat="false" ht="14.25" hidden="false" customHeight="true" outlineLevel="0" collapsed="false">
      <c r="K47" s="19"/>
      <c r="CK47" s="1" t="str">
        <f aca="false">IF($B47="","",IF(OR(COUNTIF($B:$B,$B47)&gt;1,COUNTIF($K:$K,$K47)&gt;1),"Duplicate",""))</f>
        <v/>
      </c>
    </row>
    <row r="48" customFormat="false" ht="14.25" hidden="false" customHeight="true" outlineLevel="0" collapsed="false">
      <c r="K48" s="19"/>
      <c r="CK48" s="1" t="str">
        <f aca="false">IF($B48="","",IF(OR(COUNTIF($B:$B,$B48)&gt;1,COUNTIF($K:$K,$K48)&gt;1),"Duplicate",""))</f>
        <v/>
      </c>
    </row>
    <row r="49" customFormat="false" ht="14.25" hidden="false" customHeight="true" outlineLevel="0" collapsed="false">
      <c r="K49" s="19"/>
      <c r="CK49" s="1" t="str">
        <f aca="false">IF($B49="","",IF(OR(COUNTIF($B:$B,$B49)&gt;1,COUNTIF($K:$K,$K49)&gt;1),"Duplicate",""))</f>
        <v/>
      </c>
    </row>
    <row r="50" customFormat="false" ht="14.25" hidden="false" customHeight="true" outlineLevel="0" collapsed="false">
      <c r="K50" s="19"/>
      <c r="CK50" s="1" t="str">
        <f aca="false">IF($B50="","",IF(OR(COUNTIF($B:$B,$B50)&gt;1,COUNTIF($K:$K,$K50)&gt;1),"Duplicate",""))</f>
        <v/>
      </c>
    </row>
    <row r="51" customFormat="false" ht="14.25" hidden="false" customHeight="true" outlineLevel="0" collapsed="false">
      <c r="K51" s="19"/>
      <c r="CK51" s="1" t="str">
        <f aca="false">IF($B51="","",IF(OR(COUNTIF($B:$B,$B51)&gt;1,COUNTIF($K:$K,$K51)&gt;1),"Duplicate",""))</f>
        <v/>
      </c>
    </row>
    <row r="52" customFormat="false" ht="14.25" hidden="false" customHeight="true" outlineLevel="0" collapsed="false">
      <c r="K52" s="19"/>
      <c r="CK52" s="1" t="str">
        <f aca="false">IF($B52="","",IF(OR(COUNTIF($B:$B,$B52)&gt;1,COUNTIF($K:$K,$K52)&gt;1),"Duplicate",""))</f>
        <v/>
      </c>
    </row>
    <row r="53" customFormat="false" ht="14.25" hidden="false" customHeight="true" outlineLevel="0" collapsed="false">
      <c r="K53" s="19"/>
      <c r="CK53" s="1" t="str">
        <f aca="false">IF($B53="","",IF(OR(COUNTIF($B:$B,$B53)&gt;1,COUNTIF($K:$K,$K53)&gt;1),"Duplicate",""))</f>
        <v/>
      </c>
    </row>
    <row r="54" customFormat="false" ht="14.25" hidden="false" customHeight="true" outlineLevel="0" collapsed="false">
      <c r="K54" s="19"/>
      <c r="CK54" s="1" t="str">
        <f aca="false">IF($B54="","",IF(OR(COUNTIF($B:$B,$B54)&gt;1,COUNTIF($K:$K,$K54)&gt;1),"Duplicate",""))</f>
        <v/>
      </c>
    </row>
    <row r="55" customFormat="false" ht="14.25" hidden="false" customHeight="true" outlineLevel="0" collapsed="false">
      <c r="K55" s="19"/>
      <c r="CK55" s="1" t="str">
        <f aca="false">IF($B55="","",IF(OR(COUNTIF($B:$B,$B55)&gt;1,COUNTIF($K:$K,$K55)&gt;1),"Duplicate",""))</f>
        <v/>
      </c>
    </row>
    <row r="56" customFormat="false" ht="14.25" hidden="false" customHeight="true" outlineLevel="0" collapsed="false">
      <c r="K56" s="19"/>
      <c r="CK56" s="1" t="str">
        <f aca="false">IF($B56="","",IF(OR(COUNTIF($B:$B,$B56)&gt;1,COUNTIF($K:$K,$K56)&gt;1),"Duplicate",""))</f>
        <v/>
      </c>
    </row>
    <row r="57" customFormat="false" ht="14.25" hidden="false" customHeight="true" outlineLevel="0" collapsed="false">
      <c r="K57" s="19"/>
      <c r="CK57" s="1" t="str">
        <f aca="false">IF($B57="","",IF(OR(COUNTIF($B:$B,$B57)&gt;1,COUNTIF($K:$K,$K57)&gt;1),"Duplicate",""))</f>
        <v/>
      </c>
    </row>
    <row r="58" customFormat="false" ht="14.25" hidden="false" customHeight="true" outlineLevel="0" collapsed="false">
      <c r="K58" s="19"/>
      <c r="CK58" s="1" t="str">
        <f aca="false">IF($B58="","",IF(OR(COUNTIF($B:$B,$B58)&gt;1,COUNTIF($K:$K,$K58)&gt;1),"Duplicate",""))</f>
        <v/>
      </c>
    </row>
    <row r="59" customFormat="false" ht="13.5" hidden="false" customHeight="true" outlineLevel="0" collapsed="false">
      <c r="K59" s="19"/>
      <c r="CK59" s="1" t="str">
        <f aca="false">IF($B59="","",IF(OR(COUNTIF($B:$B,$B59)&gt;1,COUNTIF($K:$K,$K59)&gt;1),"Duplicate",""))</f>
        <v/>
      </c>
    </row>
    <row r="60" customFormat="false" ht="14.25" hidden="false" customHeight="true" outlineLevel="0" collapsed="false">
      <c r="K60" s="19"/>
      <c r="CK60" s="1" t="str">
        <f aca="false">IF($B60="","",IF(OR(COUNTIF($B:$B,$B60)&gt;1,COUNTIF($K:$K,$K60)&gt;1),"Duplicate",""))</f>
        <v/>
      </c>
    </row>
    <row r="61" customFormat="false" ht="14.25" hidden="false" customHeight="true" outlineLevel="0" collapsed="false">
      <c r="K61" s="19"/>
      <c r="CK61" s="1" t="str">
        <f aca="false">IF($B61="","",IF(OR(COUNTIF($B:$B,$B61)&gt;1,COUNTIF($K:$K,$K61)&gt;1),"Duplicate",""))</f>
        <v/>
      </c>
    </row>
    <row r="62" customFormat="false" ht="14.25" hidden="false" customHeight="true" outlineLevel="0" collapsed="false">
      <c r="K62" s="19"/>
      <c r="CK62" s="1" t="str">
        <f aca="false">IF($B62="","",IF(OR(COUNTIF($B:$B,$B62)&gt;1,COUNTIF($K:$K,$K62)&gt;1),"Duplicate",""))</f>
        <v/>
      </c>
    </row>
    <row r="63" customFormat="false" ht="14.25" hidden="false" customHeight="true" outlineLevel="0" collapsed="false">
      <c r="K63" s="19"/>
      <c r="CK63" s="1" t="str">
        <f aca="false">IF($B63="","",IF(OR(COUNTIF($B:$B,$B63)&gt;1,COUNTIF($K:$K,$K63)&gt;1),"Duplicate",""))</f>
        <v/>
      </c>
    </row>
    <row r="64" customFormat="false" ht="14.25" hidden="false" customHeight="true" outlineLevel="0" collapsed="false">
      <c r="K64" s="19"/>
      <c r="CK64" s="1" t="str">
        <f aca="false">IF($B64="","",IF(OR(COUNTIF($B:$B,$B64)&gt;1,COUNTIF($K:$K,$K64)&gt;1),"Duplicate",""))</f>
        <v/>
      </c>
    </row>
    <row r="65" customFormat="false" ht="14.25" hidden="false" customHeight="true" outlineLevel="0" collapsed="false">
      <c r="K65" s="19"/>
      <c r="CK65" s="1" t="str">
        <f aca="false">IF($B65="","",IF(OR(COUNTIF($B:$B,$B65)&gt;1,COUNTIF($K:$K,$K65)&gt;1),"Duplicate",""))</f>
        <v/>
      </c>
    </row>
    <row r="66" customFormat="false" ht="14.25" hidden="false" customHeight="true" outlineLevel="0" collapsed="false">
      <c r="K66" s="19"/>
      <c r="CK66" s="1" t="str">
        <f aca="false">IF($B66="","",IF(OR(COUNTIF($B:$B,$B66)&gt;1,COUNTIF($K:$K,$K66)&gt;1),"Duplicate",""))</f>
        <v/>
      </c>
    </row>
    <row r="67" customFormat="false" ht="14.25" hidden="false" customHeight="true" outlineLevel="0" collapsed="false">
      <c r="K67" s="19"/>
      <c r="CK67" s="1" t="str">
        <f aca="false">IF($B67="","",IF(OR(COUNTIF($B:$B,$B67)&gt;1,COUNTIF($K:$K,$K67)&gt;1),"Duplicate",""))</f>
        <v/>
      </c>
    </row>
    <row r="68" customFormat="false" ht="14.25" hidden="false" customHeight="true" outlineLevel="0" collapsed="false">
      <c r="K68" s="19"/>
      <c r="CK68" s="1" t="str">
        <f aca="false">IF($B68="","",IF(OR(COUNTIF($B:$B,$B68)&gt;1,COUNTIF($K:$K,$K68)&gt;1),"Duplicate",""))</f>
        <v/>
      </c>
    </row>
    <row r="69" customFormat="false" ht="14.25" hidden="false" customHeight="true" outlineLevel="0" collapsed="false">
      <c r="K69" s="19"/>
      <c r="CK69" s="1" t="str">
        <f aca="false">IF($B69="","",IF(OR(COUNTIF($B:$B,$B69)&gt;1,COUNTIF($K:$K,$K69)&gt;1),"Duplicate",""))</f>
        <v/>
      </c>
    </row>
    <row r="70" customFormat="false" ht="14.25" hidden="false" customHeight="true" outlineLevel="0" collapsed="false">
      <c r="K70" s="19"/>
      <c r="CK70" s="1" t="str">
        <f aca="false">IF($B70="","",IF(OR(COUNTIF($B:$B,$B70)&gt;1,COUNTIF($K:$K,$K70)&gt;1),"Duplicate",""))</f>
        <v/>
      </c>
    </row>
    <row r="71" customFormat="false" ht="14.25" hidden="false" customHeight="true" outlineLevel="0" collapsed="false">
      <c r="K71" s="19"/>
      <c r="CK71" s="1" t="str">
        <f aca="false">IF($B71="","",IF(OR(COUNTIF($B:$B,$B71)&gt;1,COUNTIF($K:$K,$K71)&gt;1),"Duplicate",""))</f>
        <v/>
      </c>
    </row>
    <row r="72" customFormat="false" ht="14.25" hidden="false" customHeight="true" outlineLevel="0" collapsed="false">
      <c r="K72" s="19"/>
      <c r="CK72" s="1" t="str">
        <f aca="false">IF($B72="","",IF(OR(COUNTIF($B:$B,$B72)&gt;1,COUNTIF($K:$K,$K72)&gt;1),"Duplicate",""))</f>
        <v/>
      </c>
    </row>
    <row r="73" customFormat="false" ht="14.25" hidden="false" customHeight="true" outlineLevel="0" collapsed="false">
      <c r="K73" s="19"/>
      <c r="CK73" s="1" t="str">
        <f aca="false">IF($B73="","",IF(OR(COUNTIF($B:$B,$B73)&gt;1,COUNTIF($K:$K,$K73)&gt;1),"Duplicate",""))</f>
        <v/>
      </c>
    </row>
    <row r="74" customFormat="false" ht="14.25" hidden="false" customHeight="true" outlineLevel="0" collapsed="false">
      <c r="K74" s="19"/>
      <c r="CK74" s="1" t="str">
        <f aca="false">IF($B74="","",IF(OR(COUNTIF($B:$B,$B74)&gt;1,COUNTIF($K:$K,$K74)&gt;1),"Duplicate",""))</f>
        <v/>
      </c>
    </row>
    <row r="75" customFormat="false" ht="14.25" hidden="false" customHeight="true" outlineLevel="0" collapsed="false">
      <c r="K75" s="19"/>
      <c r="CK75" s="1" t="str">
        <f aca="false">IF($B75="","",IF(OR(COUNTIF($B:$B,$B75)&gt;1,COUNTIF($K:$K,$K75)&gt;1),"Duplicate",""))</f>
        <v/>
      </c>
    </row>
    <row r="76" customFormat="false" ht="14.25" hidden="false" customHeight="true" outlineLevel="0" collapsed="false">
      <c r="K76" s="19"/>
      <c r="CK76" s="1" t="str">
        <f aca="false">IF($B76="","",IF(OR(COUNTIF($B:$B,$B76)&gt;1,COUNTIF($K:$K,$K76)&gt;1),"Duplicate",""))</f>
        <v/>
      </c>
    </row>
    <row r="77" customFormat="false" ht="14.25" hidden="false" customHeight="true" outlineLevel="0" collapsed="false">
      <c r="K77" s="19"/>
      <c r="CK77" s="1" t="str">
        <f aca="false">IF($B77="","",IF(OR(COUNTIF($B:$B,$B77)&gt;1,COUNTIF($K:$K,$K77)&gt;1),"Duplicate",""))</f>
        <v/>
      </c>
    </row>
    <row r="78" customFormat="false" ht="14.25" hidden="false" customHeight="true" outlineLevel="0" collapsed="false">
      <c r="K78" s="19"/>
      <c r="CK78" s="1" t="str">
        <f aca="false">IF($B78="","",IF(OR(COUNTIF($B:$B,$B78)&gt;1,COUNTIF($K:$K,$K78)&gt;1),"Duplicate",""))</f>
        <v/>
      </c>
    </row>
    <row r="79" customFormat="false" ht="14.25" hidden="false" customHeight="true" outlineLevel="0" collapsed="false">
      <c r="K79" s="19"/>
      <c r="CK79" s="1" t="str">
        <f aca="false">IF($B79="","",IF(OR(COUNTIF($B:$B,$B79)&gt;1,COUNTIF($K:$K,$K79)&gt;1),"Duplicate",""))</f>
        <v/>
      </c>
    </row>
    <row r="80" customFormat="false" ht="14.25" hidden="false" customHeight="true" outlineLevel="0" collapsed="false">
      <c r="K80" s="19"/>
      <c r="CK80" s="1" t="str">
        <f aca="false">IF($B80="","",IF(OR(COUNTIF($B:$B,$B80)&gt;1,COUNTIF($K:$K,$K80)&gt;1),"Duplicate",""))</f>
        <v/>
      </c>
    </row>
    <row r="81" customFormat="false" ht="14.25" hidden="false" customHeight="true" outlineLevel="0" collapsed="false">
      <c r="K81" s="19"/>
      <c r="CK81" s="1" t="str">
        <f aca="false">IF($B81="","",IF(OR(COUNTIF($B:$B,$B81)&gt;1,COUNTIF($K:$K,$K81)&gt;1),"Duplicate",""))</f>
        <v/>
      </c>
    </row>
    <row r="82" customFormat="false" ht="14.25" hidden="false" customHeight="true" outlineLevel="0" collapsed="false">
      <c r="K82" s="19"/>
      <c r="CK82" s="1" t="str">
        <f aca="false">IF($B82="","",IF(OR(COUNTIF($B:$B,$B82)&gt;1,COUNTIF($K:$K,$K82)&gt;1),"Duplicate",""))</f>
        <v/>
      </c>
    </row>
    <row r="83" customFormat="false" ht="14.25" hidden="false" customHeight="true" outlineLevel="0" collapsed="false">
      <c r="K83" s="19"/>
      <c r="CK83" s="1" t="str">
        <f aca="false">IF($B83="","",IF(OR(COUNTIF($B:$B,$B83)&gt;1,COUNTIF($K:$K,$K83)&gt;1),"Duplicate",""))</f>
        <v/>
      </c>
    </row>
    <row r="84" customFormat="false" ht="14.25" hidden="false" customHeight="true" outlineLevel="0" collapsed="false">
      <c r="K84" s="19"/>
      <c r="CK84" s="1" t="str">
        <f aca="false">IF($B84="","",IF(OR(COUNTIF($B:$B,$B84)&gt;1,COUNTIF($K:$K,$K84)&gt;1),"Duplicate",""))</f>
        <v/>
      </c>
    </row>
    <row r="85" customFormat="false" ht="14.25" hidden="false" customHeight="true" outlineLevel="0" collapsed="false">
      <c r="K85" s="19"/>
      <c r="CK85" s="1" t="str">
        <f aca="false">IF($B85="","",IF(OR(COUNTIF($B:$B,$B85)&gt;1,COUNTIF($K:$K,$K85)&gt;1),"Duplicate",""))</f>
        <v/>
      </c>
    </row>
    <row r="86" customFormat="false" ht="14.25" hidden="false" customHeight="true" outlineLevel="0" collapsed="false">
      <c r="K86" s="19"/>
      <c r="CK86" s="1" t="str">
        <f aca="false">IF($B86="","",IF(OR(COUNTIF($B:$B,$B86)&gt;1,COUNTIF($K:$K,$K86)&gt;1),"Duplicate",""))</f>
        <v/>
      </c>
    </row>
    <row r="87" customFormat="false" ht="14.25" hidden="false" customHeight="true" outlineLevel="0" collapsed="false">
      <c r="K87" s="19"/>
      <c r="CK87" s="1" t="str">
        <f aca="false">IF($B87="","",IF(OR(COUNTIF($B:$B,$B87)&gt;1,COUNTIF($K:$K,$K87)&gt;1),"Duplicate",""))</f>
        <v/>
      </c>
    </row>
    <row r="88" customFormat="false" ht="14.25" hidden="false" customHeight="true" outlineLevel="0" collapsed="false">
      <c r="K88" s="19"/>
      <c r="CK88" s="1" t="str">
        <f aca="false">IF($B88="","",IF(OR(COUNTIF($B:$B,$B88)&gt;1,COUNTIF($K:$K,$K88)&gt;1),"Duplicate",""))</f>
        <v/>
      </c>
    </row>
    <row r="89" customFormat="false" ht="14.25" hidden="false" customHeight="true" outlineLevel="0" collapsed="false">
      <c r="K89" s="19"/>
      <c r="CK89" s="1" t="str">
        <f aca="false">IF($B89="","",IF(OR(COUNTIF($B:$B,$B89)&gt;1,COUNTIF($K:$K,$K89)&gt;1),"Duplicate",""))</f>
        <v/>
      </c>
    </row>
    <row r="90" customFormat="false" ht="14.25" hidden="false" customHeight="true" outlineLevel="0" collapsed="false">
      <c r="K90" s="19"/>
      <c r="CK90" s="1" t="str">
        <f aca="false">IF($B90="","",IF(OR(COUNTIF($B:$B,$B90)&gt;1,COUNTIF($K:$K,$K90)&gt;1),"Duplicate",""))</f>
        <v/>
      </c>
    </row>
    <row r="91" customFormat="false" ht="14.25" hidden="false" customHeight="true" outlineLevel="0" collapsed="false">
      <c r="K91" s="19"/>
      <c r="CK91" s="1" t="str">
        <f aca="false">IF($B91="","",IF(OR(COUNTIF($B:$B,$B91)&gt;1,COUNTIF($K:$K,$K91)&gt;1),"Duplicate",""))</f>
        <v/>
      </c>
    </row>
    <row r="92" customFormat="false" ht="14.25" hidden="false" customHeight="true" outlineLevel="0" collapsed="false">
      <c r="K92" s="19"/>
      <c r="CK92" s="1" t="str">
        <f aca="false">IF($B92="","",IF(OR(COUNTIF($B:$B,$B92)&gt;1,COUNTIF($K:$K,$K92)&gt;1),"Duplicate",""))</f>
        <v/>
      </c>
    </row>
    <row r="93" customFormat="false" ht="14.25" hidden="false" customHeight="true" outlineLevel="0" collapsed="false">
      <c r="K93" s="19"/>
      <c r="CK93" s="1" t="str">
        <f aca="false">IF($B93="","",IF(OR(COUNTIF($B:$B,$B93)&gt;1,COUNTIF($K:$K,$K93)&gt;1),"Duplicate",""))</f>
        <v/>
      </c>
    </row>
    <row r="94" customFormat="false" ht="14.25" hidden="false" customHeight="true" outlineLevel="0" collapsed="false">
      <c r="K94" s="19"/>
      <c r="CK94" s="1" t="str">
        <f aca="false">IF($B94="","",IF(OR(COUNTIF($B:$B,$B94)&gt;1,COUNTIF($K:$K,$K94)&gt;1),"Duplicate",""))</f>
        <v/>
      </c>
    </row>
    <row r="95" customFormat="false" ht="14.25" hidden="false" customHeight="true" outlineLevel="0" collapsed="false">
      <c r="K95" s="19"/>
      <c r="CK95" s="1" t="str">
        <f aca="false">IF($B95="","",IF(OR(COUNTIF($B:$B,$B95)&gt;1,COUNTIF($K:$K,$K95)&gt;1),"Duplicate",""))</f>
        <v/>
      </c>
    </row>
    <row r="96" customFormat="false" ht="14.25" hidden="false" customHeight="true" outlineLevel="0" collapsed="false">
      <c r="K96" s="19"/>
      <c r="CK96" s="1" t="str">
        <f aca="false">IF($B96="","",IF(OR(COUNTIF($B:$B,$B96)&gt;1,COUNTIF($K:$K,$K96)&gt;1),"Duplicate",""))</f>
        <v/>
      </c>
    </row>
    <row r="97" customFormat="false" ht="14.25" hidden="false" customHeight="true" outlineLevel="0" collapsed="false">
      <c r="K97" s="19"/>
      <c r="CK97" s="1" t="str">
        <f aca="false">IF($B97="","",IF(OR(COUNTIF($B:$B,$B97)&gt;1,COUNTIF($K:$K,$K97)&gt;1),"Duplicate",""))</f>
        <v/>
      </c>
    </row>
    <row r="98" customFormat="false" ht="14.25" hidden="false" customHeight="true" outlineLevel="0" collapsed="false">
      <c r="K98" s="19"/>
      <c r="CK98" s="1" t="str">
        <f aca="false">IF($B98="","",IF(OR(COUNTIF($B:$B,$B98)&gt;1,COUNTIF($K:$K,$K98)&gt;1),"Duplicate",""))</f>
        <v/>
      </c>
    </row>
    <row r="99" customFormat="false" ht="14.25" hidden="false" customHeight="true" outlineLevel="0" collapsed="false">
      <c r="K99" s="19"/>
      <c r="CK99" s="1" t="str">
        <f aca="false">IF($B99="","",IF(OR(COUNTIF($B:$B,$B99)&gt;1,COUNTIF($K:$K,$K99)&gt;1),"Duplicate",""))</f>
        <v/>
      </c>
    </row>
    <row r="100" customFormat="false" ht="14.25" hidden="false" customHeight="true" outlineLevel="0" collapsed="false">
      <c r="K100" s="19"/>
      <c r="CK100" s="1" t="str">
        <f aca="false">IF($B100="","",IF(OR(COUNTIF($B:$B,$B100)&gt;1,COUNTIF($K:$K,$K100)&gt;1),"Duplicate",""))</f>
        <v/>
      </c>
    </row>
    <row r="101" customFormat="false" ht="14.25" hidden="false" customHeight="true" outlineLevel="0" collapsed="false">
      <c r="K101" s="19"/>
      <c r="CK101" s="1" t="str">
        <f aca="false">IF($B101="","",IF(OR(COUNTIF($B:$B,$B101)&gt;1,COUNTIF($K:$K,$K101)&gt;1),"Duplicate",""))</f>
        <v/>
      </c>
    </row>
    <row r="102" customFormat="false" ht="14.25" hidden="false" customHeight="true" outlineLevel="0" collapsed="false">
      <c r="K102" s="19"/>
      <c r="CK102" s="1" t="str">
        <f aca="false">IF($B102="","",IF(OR(COUNTIF($B:$B,$B102)&gt;1,COUNTIF($K:$K,$K102)&gt;1),"Duplicate",""))</f>
        <v/>
      </c>
    </row>
    <row r="103" customFormat="false" ht="14.25" hidden="false" customHeight="true" outlineLevel="0" collapsed="false">
      <c r="K103" s="19"/>
      <c r="CK103" s="1" t="str">
        <f aca="false">IF($B103="","",IF(OR(COUNTIF($B:$B,$B103)&gt;1,COUNTIF($K:$K,$K103)&gt;1),"Duplicate",""))</f>
        <v/>
      </c>
    </row>
    <row r="104" customFormat="false" ht="14.25" hidden="false" customHeight="true" outlineLevel="0" collapsed="false">
      <c r="K104" s="19"/>
      <c r="CK104" s="1" t="str">
        <f aca="false">IF($B104="","",IF(OR(COUNTIF($B:$B,$B104)&gt;1,COUNTIF($K:$K,$K104)&gt;1),"Duplicate",""))</f>
        <v/>
      </c>
    </row>
    <row r="105" customFormat="false" ht="14.25" hidden="false" customHeight="true" outlineLevel="0" collapsed="false">
      <c r="K105" s="19"/>
      <c r="CK105" s="1" t="str">
        <f aca="false">IF($B105="","",IF(OR(COUNTIF($B:$B,$B105)&gt;1,COUNTIF($K:$K,$K105)&gt;1),"Duplicate",""))</f>
        <v/>
      </c>
    </row>
    <row r="106" customFormat="false" ht="14.25" hidden="false" customHeight="true" outlineLevel="0" collapsed="false">
      <c r="K106" s="19"/>
      <c r="CK106" s="1" t="str">
        <f aca="false">IF($B106="","",IF(OR(COUNTIF($B:$B,$B106)&gt;1,COUNTIF($K:$K,$K106)&gt;1),"Duplicate",""))</f>
        <v/>
      </c>
    </row>
    <row r="107" customFormat="false" ht="14.25" hidden="false" customHeight="true" outlineLevel="0" collapsed="false">
      <c r="K107" s="19"/>
      <c r="CK107" s="1" t="str">
        <f aca="false">IF($B107="","",IF(OR(COUNTIF($B:$B,$B107)&gt;1,COUNTIF($K:$K,$K107)&gt;1),"Duplicate",""))</f>
        <v/>
      </c>
    </row>
    <row r="108" customFormat="false" ht="14.25" hidden="false" customHeight="true" outlineLevel="0" collapsed="false">
      <c r="K108" s="19"/>
      <c r="CK108" s="1" t="str">
        <f aca="false">IF($B108="","",IF(OR(COUNTIF($B:$B,$B108)&gt;1,COUNTIF($K:$K,$K108)&gt;1),"Duplicate",""))</f>
        <v/>
      </c>
    </row>
    <row r="109" customFormat="false" ht="14.25" hidden="false" customHeight="true" outlineLevel="0" collapsed="false">
      <c r="K109" s="19"/>
      <c r="CK109" s="1" t="str">
        <f aca="false">IF($B109="","",IF(OR(COUNTIF($B:$B,$B109)&gt;1,COUNTIF($K:$K,$K109)&gt;1),"Duplicate",""))</f>
        <v/>
      </c>
    </row>
    <row r="110" customFormat="false" ht="14.25" hidden="false" customHeight="true" outlineLevel="0" collapsed="false">
      <c r="K110" s="19"/>
      <c r="CK110" s="1" t="str">
        <f aca="false">IF($B110="","",IF(OR(COUNTIF($B:$B,$B110)&gt;1,COUNTIF($K:$K,$K110)&gt;1),"Duplicate",""))</f>
        <v/>
      </c>
    </row>
    <row r="111" customFormat="false" ht="14.25" hidden="false" customHeight="true" outlineLevel="0" collapsed="false">
      <c r="K111" s="19"/>
      <c r="CK111" s="1" t="str">
        <f aca="false">IF($B111="","",IF(OR(COUNTIF($B:$B,$B111)&gt;1,COUNTIF($K:$K,$K111)&gt;1),"Duplicate",""))</f>
        <v/>
      </c>
    </row>
    <row r="112" customFormat="false" ht="14.25" hidden="false" customHeight="true" outlineLevel="0" collapsed="false">
      <c r="K112" s="19"/>
      <c r="CK112" s="1" t="str">
        <f aca="false">IF($B112="","",IF(OR(COUNTIF($B:$B,$B112)&gt;1,COUNTIF($K:$K,$K112)&gt;1),"Duplicate",""))</f>
        <v/>
      </c>
    </row>
    <row r="113" customFormat="false" ht="14.25" hidden="false" customHeight="true" outlineLevel="0" collapsed="false">
      <c r="K113" s="19"/>
      <c r="CK113" s="1" t="str">
        <f aca="false">IF($B113="","",IF(OR(COUNTIF($B:$B,$B113)&gt;1,COUNTIF($K:$K,$K113)&gt;1),"Duplicate",""))</f>
        <v/>
      </c>
    </row>
    <row r="114" customFormat="false" ht="14.25" hidden="false" customHeight="true" outlineLevel="0" collapsed="false">
      <c r="K114" s="19"/>
      <c r="CK114" s="1" t="str">
        <f aca="false">IF($B114="","",IF(OR(COUNTIF($B:$B,$B114)&gt;1,COUNTIF($K:$K,$K114)&gt;1),"Duplicate",""))</f>
        <v/>
      </c>
    </row>
    <row r="115" customFormat="false" ht="14.25" hidden="false" customHeight="true" outlineLevel="0" collapsed="false">
      <c r="K115" s="19"/>
      <c r="CK115" s="1" t="str">
        <f aca="false">IF($B115="","",IF(OR(COUNTIF($B:$B,$B115)&gt;1,COUNTIF($K:$K,$K115)&gt;1),"Duplicate",""))</f>
        <v/>
      </c>
    </row>
    <row r="116" customFormat="false" ht="14.25" hidden="false" customHeight="true" outlineLevel="0" collapsed="false">
      <c r="K116" s="19"/>
      <c r="CK116" s="1" t="str">
        <f aca="false">IF($B116="","",IF(OR(COUNTIF($B:$B,$B116)&gt;1,COUNTIF($K:$K,$K116)&gt;1),"Duplicate",""))</f>
        <v/>
      </c>
    </row>
    <row r="117" customFormat="false" ht="14.25" hidden="false" customHeight="true" outlineLevel="0" collapsed="false">
      <c r="K117" s="19"/>
      <c r="CK117" s="1" t="str">
        <f aca="false">IF($B117="","",IF(OR(COUNTIF($B:$B,$B117)&gt;1,COUNTIF($K:$K,$K117)&gt;1),"Duplicate",""))</f>
        <v/>
      </c>
    </row>
    <row r="118" customFormat="false" ht="14.25" hidden="false" customHeight="true" outlineLevel="0" collapsed="false">
      <c r="K118" s="19"/>
      <c r="CK118" s="1" t="str">
        <f aca="false">IF($B118="","",IF(OR(COUNTIF($B:$B,$B118)&gt;1,COUNTIF($K:$K,$K118)&gt;1),"Duplicate",""))</f>
        <v/>
      </c>
    </row>
    <row r="119" customFormat="false" ht="14.25" hidden="false" customHeight="true" outlineLevel="0" collapsed="false">
      <c r="K119" s="19"/>
      <c r="CK119" s="1" t="str">
        <f aca="false">IF($B119="","",IF(OR(COUNTIF($B:$B,$B119)&gt;1,COUNTIF($K:$K,$K119)&gt;1),"Duplicate",""))</f>
        <v/>
      </c>
    </row>
    <row r="120" customFormat="false" ht="14.25" hidden="false" customHeight="true" outlineLevel="0" collapsed="false">
      <c r="K120" s="19"/>
      <c r="CK120" s="1" t="str">
        <f aca="false">IF($B120="","",IF(OR(COUNTIF($B:$B,$B120)&gt;1,COUNTIF($K:$K,$K120)&gt;1),"Duplicate",""))</f>
        <v/>
      </c>
    </row>
    <row r="121" customFormat="false" ht="14.25" hidden="false" customHeight="true" outlineLevel="0" collapsed="false">
      <c r="K121" s="19"/>
      <c r="CK121" s="1" t="str">
        <f aca="false">IF($B121="","",IF(OR(COUNTIF($B:$B,$B121)&gt;1,COUNTIF($K:$K,$K121)&gt;1),"Duplicate",""))</f>
        <v/>
      </c>
    </row>
    <row r="122" customFormat="false" ht="14.25" hidden="false" customHeight="true" outlineLevel="0" collapsed="false">
      <c r="K122" s="19"/>
      <c r="CK122" s="1" t="str">
        <f aca="false">IF($B122="","",IF(OR(COUNTIF($B:$B,$B122)&gt;1,COUNTIF($K:$K,$K122)&gt;1),"Duplicate",""))</f>
        <v/>
      </c>
    </row>
    <row r="123" customFormat="false" ht="14.25" hidden="false" customHeight="true" outlineLevel="0" collapsed="false">
      <c r="K123" s="19"/>
      <c r="CK123" s="1" t="str">
        <f aca="false">IF($B123="","",IF(OR(COUNTIF($B:$B,$B123)&gt;1,COUNTIF($K:$K,$K123)&gt;1),"Duplicate",""))</f>
        <v/>
      </c>
    </row>
    <row r="124" customFormat="false" ht="14.25" hidden="false" customHeight="true" outlineLevel="0" collapsed="false">
      <c r="K124" s="19"/>
      <c r="CK124" s="1" t="str">
        <f aca="false">IF($B124="","",IF(OR(COUNTIF($B:$B,$B124)&gt;1,COUNTIF($K:$K,$K124)&gt;1),"Duplicate",""))</f>
        <v/>
      </c>
    </row>
    <row r="125" customFormat="false" ht="14.25" hidden="false" customHeight="true" outlineLevel="0" collapsed="false">
      <c r="K125" s="19"/>
      <c r="CK125" s="1" t="str">
        <f aca="false">IF($B125="","",IF(OR(COUNTIF($B:$B,$B125)&gt;1,COUNTIF($K:$K,$K125)&gt;1),"Duplicate",""))</f>
        <v/>
      </c>
    </row>
    <row r="126" customFormat="false" ht="14.25" hidden="false" customHeight="true" outlineLevel="0" collapsed="false">
      <c r="K126" s="19"/>
      <c r="CK126" s="1" t="str">
        <f aca="false">IF($B126="","",IF(OR(COUNTIF($B:$B,$B126)&gt;1,COUNTIF($K:$K,$K126)&gt;1),"Duplicate",""))</f>
        <v/>
      </c>
    </row>
    <row r="127" customFormat="false" ht="14.25" hidden="false" customHeight="true" outlineLevel="0" collapsed="false">
      <c r="K127" s="19"/>
      <c r="CK127" s="1" t="str">
        <f aca="false">IF($B127="","",IF(OR(COUNTIF($B:$B,$B127)&gt;1,COUNTIF($K:$K,$K127)&gt;1),"Duplicate",""))</f>
        <v/>
      </c>
    </row>
    <row r="128" customFormat="false" ht="14.25" hidden="false" customHeight="true" outlineLevel="0" collapsed="false">
      <c r="K128" s="19"/>
      <c r="CK128" s="1" t="str">
        <f aca="false">IF($B128="","",IF(OR(COUNTIF($B:$B,$B128)&gt;1,COUNTIF($K:$K,$K128)&gt;1),"Duplicate",""))</f>
        <v/>
      </c>
    </row>
    <row r="129" customFormat="false" ht="14.25" hidden="false" customHeight="true" outlineLevel="0" collapsed="false">
      <c r="K129" s="19"/>
      <c r="CK129" s="1" t="str">
        <f aca="false">IF($B129="","",IF(OR(COUNTIF($B:$B,$B129)&gt;1,COUNTIF($K:$K,$K129)&gt;1),"Duplicate",""))</f>
        <v/>
      </c>
    </row>
    <row r="130" customFormat="false" ht="14.25" hidden="false" customHeight="true" outlineLevel="0" collapsed="false">
      <c r="K130" s="19"/>
      <c r="CK130" s="1" t="str">
        <f aca="false">IF($B130="","",IF(OR(COUNTIF($B:$B,$B130)&gt;1,COUNTIF($K:$K,$K130)&gt;1),"Duplicate",""))</f>
        <v/>
      </c>
    </row>
    <row r="131" customFormat="false" ht="14.25" hidden="false" customHeight="true" outlineLevel="0" collapsed="false">
      <c r="K131" s="19"/>
      <c r="CK131" s="1" t="str">
        <f aca="false">IF($B131="","",IF(OR(COUNTIF($B:$B,$B131)&gt;1,COUNTIF($K:$K,$K131)&gt;1),"Duplicate",""))</f>
        <v/>
      </c>
    </row>
    <row r="132" customFormat="false" ht="14.25" hidden="false" customHeight="true" outlineLevel="0" collapsed="false">
      <c r="K132" s="19"/>
      <c r="CK132" s="1" t="str">
        <f aca="false">IF($B132="","",IF(OR(COUNTIF($B:$B,$B132)&gt;1,COUNTIF($K:$K,$K132)&gt;1),"Duplicate",""))</f>
        <v/>
      </c>
    </row>
    <row r="133" customFormat="false" ht="14.25" hidden="false" customHeight="true" outlineLevel="0" collapsed="false">
      <c r="K133" s="19"/>
      <c r="CK133" s="1" t="str">
        <f aca="false">IF($B133="","",IF(OR(COUNTIF($B:$B,$B133)&gt;1,COUNTIF($K:$K,$K133)&gt;1),"Duplicate",""))</f>
        <v/>
      </c>
    </row>
    <row r="134" customFormat="false" ht="14.25" hidden="false" customHeight="true" outlineLevel="0" collapsed="false">
      <c r="K134" s="19"/>
      <c r="CK134" s="1" t="str">
        <f aca="false">IF($B134="","",IF(OR(COUNTIF($B:$B,$B134)&gt;1,COUNTIF($K:$K,$K134)&gt;1),"Duplicate",""))</f>
        <v/>
      </c>
    </row>
    <row r="135" customFormat="false" ht="14.25" hidden="false" customHeight="true" outlineLevel="0" collapsed="false">
      <c r="K135" s="19"/>
      <c r="CK135" s="1" t="str">
        <f aca="false">IF($B135="","",IF(OR(COUNTIF($B:$B,$B135)&gt;1,COUNTIF($K:$K,$K135)&gt;1),"Duplicate",""))</f>
        <v/>
      </c>
    </row>
    <row r="136" customFormat="false" ht="14.25" hidden="false" customHeight="true" outlineLevel="0" collapsed="false">
      <c r="K136" s="19"/>
      <c r="CK136" s="1" t="str">
        <f aca="false">IF($B136="","",IF(OR(COUNTIF($B:$B,$B136)&gt;1,COUNTIF($K:$K,$K136)&gt;1),"Duplicate",""))</f>
        <v/>
      </c>
    </row>
    <row r="137" customFormat="false" ht="14.25" hidden="false" customHeight="true" outlineLevel="0" collapsed="false">
      <c r="K137" s="19"/>
      <c r="CK137" s="1" t="str">
        <f aca="false">IF($B137="","",IF(OR(COUNTIF($B:$B,$B137)&gt;1,COUNTIF($K:$K,$K137)&gt;1),"Duplicate",""))</f>
        <v/>
      </c>
    </row>
    <row r="138" customFormat="false" ht="14.25" hidden="false" customHeight="true" outlineLevel="0" collapsed="false">
      <c r="K138" s="19"/>
      <c r="CK138" s="1" t="str">
        <f aca="false">IF($B138="","",IF(OR(COUNTIF($B:$B,$B138)&gt;1,COUNTIF($K:$K,$K138)&gt;1),"Duplicate",""))</f>
        <v/>
      </c>
    </row>
    <row r="139" customFormat="false" ht="14.25" hidden="false" customHeight="true" outlineLevel="0" collapsed="false">
      <c r="K139" s="19"/>
      <c r="CK139" s="1" t="str">
        <f aca="false">IF($B139="","",IF(OR(COUNTIF($B:$B,$B139)&gt;1,COUNTIF($K:$K,$K139)&gt;1),"Duplicate",""))</f>
        <v/>
      </c>
    </row>
    <row r="140" customFormat="false" ht="14.25" hidden="false" customHeight="true" outlineLevel="0" collapsed="false">
      <c r="K140" s="19"/>
      <c r="CK140" s="1" t="str">
        <f aca="false">IF($B140="","",IF(OR(COUNTIF($B:$B,$B140)&gt;1,COUNTIF($K:$K,$K140)&gt;1),"Duplicate",""))</f>
        <v/>
      </c>
    </row>
    <row r="141" customFormat="false" ht="14.25" hidden="false" customHeight="true" outlineLevel="0" collapsed="false">
      <c r="K141" s="19"/>
      <c r="CK141" s="1" t="str">
        <f aca="false">IF($B141="","",IF(OR(COUNTIF($B:$B,$B141)&gt;1,COUNTIF($K:$K,$K141)&gt;1),"Duplicate",""))</f>
        <v/>
      </c>
    </row>
    <row r="142" customFormat="false" ht="14.25" hidden="false" customHeight="true" outlineLevel="0" collapsed="false">
      <c r="K142" s="19"/>
      <c r="CK142" s="1" t="str">
        <f aca="false">IF($B142="","",IF(OR(COUNTIF($B:$B,$B142)&gt;1,COUNTIF($K:$K,$K142)&gt;1),"Duplicate",""))</f>
        <v/>
      </c>
    </row>
    <row r="143" customFormat="false" ht="14.25" hidden="false" customHeight="true" outlineLevel="0" collapsed="false">
      <c r="K143" s="19"/>
      <c r="CK143" s="1" t="str">
        <f aca="false">IF($B143="","",IF(OR(COUNTIF($B:$B,$B143)&gt;1,COUNTIF($K:$K,$K143)&gt;1),"Duplicate",""))</f>
        <v/>
      </c>
    </row>
    <row r="144" customFormat="false" ht="14.25" hidden="false" customHeight="true" outlineLevel="0" collapsed="false">
      <c r="K144" s="19"/>
      <c r="CK144" s="1" t="str">
        <f aca="false">IF($B144="","",IF(OR(COUNTIF($B:$B,$B144)&gt;1,COUNTIF($K:$K,$K144)&gt;1),"Duplicate",""))</f>
        <v/>
      </c>
    </row>
    <row r="145" customFormat="false" ht="14.25" hidden="false" customHeight="true" outlineLevel="0" collapsed="false">
      <c r="K145" s="19"/>
      <c r="CK145" s="1" t="str">
        <f aca="false">IF($B145="","",IF(OR(COUNTIF($B:$B,$B145)&gt;1,COUNTIF($K:$K,$K145)&gt;1),"Duplicate",""))</f>
        <v/>
      </c>
    </row>
    <row r="146" customFormat="false" ht="14.25" hidden="false" customHeight="true" outlineLevel="0" collapsed="false">
      <c r="K146" s="19"/>
      <c r="CK146" s="1" t="str">
        <f aca="false">IF($B146="","",IF(OR(COUNTIF($B:$B,$B146)&gt;1,COUNTIF($K:$K,$K146)&gt;1),"Duplicate",""))</f>
        <v/>
      </c>
    </row>
    <row r="147" customFormat="false" ht="14.25" hidden="false" customHeight="true" outlineLevel="0" collapsed="false">
      <c r="K147" s="19"/>
      <c r="CK147" s="1" t="str">
        <f aca="false">IF($B147="","",IF(OR(COUNTIF($B:$B,$B147)&gt;1,COUNTIF($K:$K,$K147)&gt;1),"Duplicate",""))</f>
        <v/>
      </c>
    </row>
    <row r="148" customFormat="false" ht="14.25" hidden="false" customHeight="true" outlineLevel="0" collapsed="false">
      <c r="K148" s="19"/>
      <c r="CK148" s="1" t="str">
        <f aca="false">IF($B148="","",IF(OR(COUNTIF($B:$B,$B148)&gt;1,COUNTIF($K:$K,$K148)&gt;1),"Duplicate",""))</f>
        <v/>
      </c>
    </row>
    <row r="149" customFormat="false" ht="14.25" hidden="false" customHeight="true" outlineLevel="0" collapsed="false">
      <c r="K149" s="19"/>
      <c r="CK149" s="1" t="str">
        <f aca="false">IF($B149="","",IF(OR(COUNTIF($B:$B,$B149)&gt;1,COUNTIF($K:$K,$K149)&gt;1),"Duplicate",""))</f>
        <v/>
      </c>
    </row>
    <row r="150" customFormat="false" ht="14.25" hidden="false" customHeight="true" outlineLevel="0" collapsed="false">
      <c r="K150" s="19"/>
      <c r="CK150" s="1" t="str">
        <f aca="false">IF($B150="","",IF(OR(COUNTIF($B:$B,$B150)&gt;1,COUNTIF($K:$K,$K150)&gt;1),"Duplicate",""))</f>
        <v/>
      </c>
    </row>
    <row r="151" customFormat="false" ht="14.25" hidden="false" customHeight="true" outlineLevel="0" collapsed="false">
      <c r="K151" s="19"/>
      <c r="CK151" s="1" t="str">
        <f aca="false">IF($B151="","",IF(OR(COUNTIF($B:$B,$B151)&gt;1,COUNTIF($K:$K,$K151)&gt;1),"Duplicate",""))</f>
        <v/>
      </c>
    </row>
    <row r="152" customFormat="false" ht="14.25" hidden="false" customHeight="true" outlineLevel="0" collapsed="false">
      <c r="K152" s="19"/>
      <c r="CK152" s="1" t="str">
        <f aca="false">IF($B152="","",IF(OR(COUNTIF($B:$B,$B152)&gt;1,COUNTIF($K:$K,$K152)&gt;1),"Duplicate",""))</f>
        <v/>
      </c>
    </row>
    <row r="153" customFormat="false" ht="14.25" hidden="false" customHeight="true" outlineLevel="0" collapsed="false">
      <c r="K153" s="19"/>
      <c r="CK153" s="1" t="str">
        <f aca="false">IF($B153="","",IF(OR(COUNTIF($B:$B,$B153)&gt;1,COUNTIF($K:$K,$K153)&gt;1),"Duplicate",""))</f>
        <v/>
      </c>
    </row>
    <row r="154" customFormat="false" ht="14.25" hidden="false" customHeight="true" outlineLevel="0" collapsed="false">
      <c r="K154" s="19"/>
      <c r="CK154" s="1" t="str">
        <f aca="false">IF($B154="","",IF(OR(COUNTIF($B:$B,$B154)&gt;1,COUNTIF($K:$K,$K154)&gt;1),"Duplicate",""))</f>
        <v/>
      </c>
    </row>
    <row r="155" customFormat="false" ht="14.25" hidden="false" customHeight="true" outlineLevel="0" collapsed="false">
      <c r="K155" s="19"/>
      <c r="CK155" s="1" t="str">
        <f aca="false">IF($B155="","",IF(OR(COUNTIF($B:$B,$B155)&gt;1,COUNTIF($K:$K,$K155)&gt;1),"Duplicate",""))</f>
        <v/>
      </c>
    </row>
    <row r="156" customFormat="false" ht="14.25" hidden="false" customHeight="true" outlineLevel="0" collapsed="false">
      <c r="K156" s="19"/>
      <c r="CK156" s="1" t="str">
        <f aca="false">IF($B156="","",IF(OR(COUNTIF($B:$B,$B156)&gt;1,COUNTIF($K:$K,$K156)&gt;1),"Duplicate",""))</f>
        <v/>
      </c>
    </row>
    <row r="157" customFormat="false" ht="14.25" hidden="false" customHeight="true" outlineLevel="0" collapsed="false">
      <c r="K157" s="19"/>
      <c r="CK157" s="1" t="str">
        <f aca="false">IF($B157="","",IF(OR(COUNTIF($B:$B,$B157)&gt;1,COUNTIF($K:$K,$K157)&gt;1),"Duplicate",""))</f>
        <v/>
      </c>
    </row>
    <row r="158" customFormat="false" ht="14.25" hidden="false" customHeight="true" outlineLevel="0" collapsed="false">
      <c r="K158" s="19"/>
      <c r="CK158" s="1" t="str">
        <f aca="false">IF($B158="","",IF(OR(COUNTIF($B:$B,$B158)&gt;1,COUNTIF($K:$K,$K158)&gt;1),"Duplicate",""))</f>
        <v/>
      </c>
    </row>
    <row r="159" customFormat="false" ht="14.25" hidden="false" customHeight="true" outlineLevel="0" collapsed="false">
      <c r="K159" s="19"/>
      <c r="CK159" s="1" t="str">
        <f aca="false">IF($B159="","",IF(OR(COUNTIF($B:$B,$B159)&gt;1,COUNTIF($K:$K,$K159)&gt;1),"Duplicate",""))</f>
        <v/>
      </c>
    </row>
    <row r="160" customFormat="false" ht="14.25" hidden="false" customHeight="true" outlineLevel="0" collapsed="false">
      <c r="K160" s="19"/>
      <c r="CK160" s="1" t="str">
        <f aca="false">IF($B160="","",IF(OR(COUNTIF($B:$B,$B160)&gt;1,COUNTIF($K:$K,$K160)&gt;1),"Duplicate",""))</f>
        <v/>
      </c>
    </row>
    <row r="161" customFormat="false" ht="14.25" hidden="false" customHeight="true" outlineLevel="0" collapsed="false">
      <c r="K161" s="19"/>
      <c r="CK161" s="1" t="str">
        <f aca="false">IF($B161="","",IF(OR(COUNTIF($B:$B,$B161)&gt;1,COUNTIF($K:$K,$K161)&gt;1),"Duplicate",""))</f>
        <v/>
      </c>
    </row>
    <row r="162" customFormat="false" ht="14.25" hidden="false" customHeight="true" outlineLevel="0" collapsed="false">
      <c r="K162" s="19"/>
      <c r="CK162" s="1" t="str">
        <f aca="false">IF($B162="","",IF(OR(COUNTIF($B:$B,$B162)&gt;1,COUNTIF($K:$K,$K162)&gt;1),"Duplicate",""))</f>
        <v/>
      </c>
    </row>
    <row r="163" customFormat="false" ht="14.25" hidden="false" customHeight="true" outlineLevel="0" collapsed="false">
      <c r="CK163" s="1" t="str">
        <f aca="false">IF($B163="","",IF(OR(COUNTIF($B:$B,$B163)&gt;1,COUNTIF($K:$K,$K163)&gt;1),"Duplicate",""))</f>
        <v/>
      </c>
    </row>
    <row r="164" customFormat="false" ht="14.25" hidden="false" customHeight="true" outlineLevel="0" collapsed="false">
      <c r="CK164" s="1" t="str">
        <f aca="false">IF($B164="","",IF(OR(COUNTIF($B:$B,$B164)&gt;1,COUNTIF($K:$K,$K164)&gt;1),"Duplicate",""))</f>
        <v/>
      </c>
    </row>
    <row r="165" customFormat="false" ht="14.25" hidden="false" customHeight="true" outlineLevel="0" collapsed="false">
      <c r="CK165" s="1" t="str">
        <f aca="false">IF($B165="","",IF(OR(COUNTIF($B:$B,$B165)&gt;1,COUNTIF($K:$K,$K165)&gt;1),"Duplicate",""))</f>
        <v/>
      </c>
    </row>
    <row r="166" customFormat="false" ht="14.25" hidden="false" customHeight="true" outlineLevel="0" collapsed="false">
      <c r="CK166" s="1" t="str">
        <f aca="false">IF($B166="","",IF(OR(COUNTIF($B:$B,$B166)&gt;1,COUNTIF($K:$K,$K166)&gt;1),"Duplicate",""))</f>
        <v/>
      </c>
    </row>
    <row r="167" customFormat="false" ht="14.25" hidden="false" customHeight="true" outlineLevel="0" collapsed="false">
      <c r="CK167" s="1" t="str">
        <f aca="false">IF($B167="","",IF(OR(COUNTIF($B:$B,$B167)&gt;1,COUNTIF($K:$K,$K167)&gt;1),"Duplicate",""))</f>
        <v/>
      </c>
    </row>
    <row r="168" customFormat="false" ht="14.25" hidden="false" customHeight="true" outlineLevel="0" collapsed="false">
      <c r="CK168" s="1" t="str">
        <f aca="false">IF($B168="","",IF(OR(COUNTIF($B:$B,$B168)&gt;1,COUNTIF($K:$K,$K168)&gt;1),"Duplicate",""))</f>
        <v/>
      </c>
    </row>
    <row r="169" customFormat="false" ht="14.25" hidden="false" customHeight="true" outlineLevel="0" collapsed="false">
      <c r="AI169" s="59"/>
      <c r="CK169" s="1" t="str">
        <f aca="false">IF($B169="","",IF(OR(COUNTIF($B:$B,$B169)&gt;1,COUNTIF($K:$K,$K169)&gt;1),"Duplicate",""))</f>
        <v/>
      </c>
    </row>
    <row r="170" customFormat="false" ht="14.25" hidden="false" customHeight="true" outlineLevel="0" collapsed="false">
      <c r="AI170" s="59"/>
      <c r="CK170" s="1" t="str">
        <f aca="false">IF($B170="","",IF(OR(COUNTIF($B:$B,$B170)&gt;1,COUNTIF($K:$K,$K170)&gt;1),"Duplicate",""))</f>
        <v/>
      </c>
    </row>
    <row r="171" customFormat="false" ht="14.25" hidden="false" customHeight="true" outlineLevel="0" collapsed="false">
      <c r="CK171" s="1" t="str">
        <f aca="false">IF($B171="","",IF(OR(COUNTIF($B:$B,$B171)&gt;1,COUNTIF($K:$K,$K171)&gt;1),"Duplicate",""))</f>
        <v/>
      </c>
    </row>
    <row r="172" customFormat="false" ht="14.25" hidden="false" customHeight="true" outlineLevel="0" collapsed="false">
      <c r="CK172" s="1" t="str">
        <f aca="false">IF($B172="","",IF(OR(COUNTIF($B:$B,$B172)&gt;1,COUNTIF($K:$K,$K172)&gt;1),"Duplicate",""))</f>
        <v/>
      </c>
    </row>
    <row r="173" customFormat="false" ht="14.25" hidden="false" customHeight="true" outlineLevel="0" collapsed="false">
      <c r="CK173" s="1" t="str">
        <f aca="false">IF($B173="","",IF(OR(COUNTIF($B:$B,$B173)&gt;1,COUNTIF($K:$K,$K173)&gt;1),"Duplicate",""))</f>
        <v/>
      </c>
    </row>
    <row r="174" customFormat="false" ht="14.25" hidden="false" customHeight="true" outlineLevel="0" collapsed="false">
      <c r="CK174" s="1" t="str">
        <f aca="false">IF($B174="","",IF(OR(COUNTIF($B:$B,$B174)&gt;1,COUNTIF($K:$K,$K174)&gt;1),"Duplicate",""))</f>
        <v/>
      </c>
    </row>
    <row r="175" customFormat="false" ht="14.25" hidden="false" customHeight="true" outlineLevel="0" collapsed="false">
      <c r="CK175" s="1" t="str">
        <f aca="false">IF($B175="","",IF(OR(COUNTIF($B:$B,$B175)&gt;1,COUNTIF($K:$K,$K175)&gt;1),"Duplicate",""))</f>
        <v/>
      </c>
    </row>
    <row r="176" customFormat="false" ht="14.25" hidden="false" customHeight="true" outlineLevel="0" collapsed="false">
      <c r="CK176" s="1" t="str">
        <f aca="false">IF($B176="","",IF(OR(COUNTIF($B:$B,$B176)&gt;1,COUNTIF($K:$K,$K176)&gt;1),"Duplicate",""))</f>
        <v/>
      </c>
    </row>
    <row r="177" customFormat="false" ht="14.25" hidden="false" customHeight="true" outlineLevel="0" collapsed="false">
      <c r="CK177" s="1" t="str">
        <f aca="false">IF($B177="","",IF(OR(COUNTIF($B:$B,$B177)&gt;1,COUNTIF($K:$K,$K177)&gt;1),"Duplicate",""))</f>
        <v/>
      </c>
    </row>
    <row r="178" customFormat="false" ht="14.25" hidden="false" customHeight="true" outlineLevel="0" collapsed="false">
      <c r="CK178" s="1" t="str">
        <f aca="false">IF($B178="","",IF(OR(COUNTIF($B:$B,$B178)&gt;1,COUNTIF($K:$K,$K178)&gt;1),"Duplicate",""))</f>
        <v/>
      </c>
    </row>
    <row r="179" customFormat="false" ht="14.25" hidden="false" customHeight="true" outlineLevel="0" collapsed="false">
      <c r="CK179" s="1" t="str">
        <f aca="false">IF($B179="","",IF(OR(COUNTIF($B:$B,$B179)&gt;1,COUNTIF($K:$K,$K179)&gt;1),"Duplicate",""))</f>
        <v/>
      </c>
    </row>
    <row r="180" customFormat="false" ht="14.25" hidden="false" customHeight="true" outlineLevel="0" collapsed="false">
      <c r="CK180" s="1" t="str">
        <f aca="false">IF($B180="","",IF(OR(COUNTIF($B:$B,$B180)&gt;1,COUNTIF($K:$K,$K180)&gt;1),"Duplicate",""))</f>
        <v/>
      </c>
    </row>
    <row r="181" customFormat="false" ht="14.25" hidden="false" customHeight="true" outlineLevel="0" collapsed="false">
      <c r="CK181" s="1" t="str">
        <f aca="false">IF($B181="","",IF(OR(COUNTIF($B:$B,$B181)&gt;1,COUNTIF($K:$K,$K181)&gt;1),"Duplicate",""))</f>
        <v/>
      </c>
    </row>
    <row r="182" customFormat="false" ht="14.25" hidden="false" customHeight="true" outlineLevel="0" collapsed="false">
      <c r="CK182" s="1" t="str">
        <f aca="false">IF($B182="","",IF(OR(COUNTIF($B:$B,$B182)&gt;1,COUNTIF($K:$K,$K182)&gt;1),"Duplicate",""))</f>
        <v/>
      </c>
    </row>
    <row r="183" customFormat="false" ht="14.25" hidden="false" customHeight="true" outlineLevel="0" collapsed="false">
      <c r="CK183" s="1" t="str">
        <f aca="false">IF($B183="","",IF(OR(COUNTIF($B:$B,$B183)&gt;1,COUNTIF($K:$K,$K183)&gt;1),"Duplicate",""))</f>
        <v/>
      </c>
    </row>
    <row r="184" customFormat="false" ht="14.25" hidden="false" customHeight="true" outlineLevel="0" collapsed="false">
      <c r="CK184" s="1" t="str">
        <f aca="false">IF($B184="","",IF(OR(COUNTIF($B:$B,$B184)&gt;1,COUNTIF($K:$K,$K184)&gt;1),"Duplicate",""))</f>
        <v/>
      </c>
    </row>
    <row r="185" customFormat="false" ht="14.25" hidden="false" customHeight="true" outlineLevel="0" collapsed="false">
      <c r="CK185" s="1" t="str">
        <f aca="false">IF($B185="","",IF(OR(COUNTIF($B:$B,$B185)&gt;1,COUNTIF($K:$K,$K185)&gt;1),"Duplicate",""))</f>
        <v/>
      </c>
    </row>
    <row r="186" customFormat="false" ht="14.25" hidden="false" customHeight="true" outlineLevel="0" collapsed="false">
      <c r="CK186" s="1" t="str">
        <f aca="false">IF($B186="","",IF(OR(COUNTIF($B:$B,$B186)&gt;1,COUNTIF($K:$K,$K186)&gt;1),"Duplicate",""))</f>
        <v/>
      </c>
    </row>
    <row r="187" customFormat="false" ht="14.25" hidden="false" customHeight="true" outlineLevel="0" collapsed="false">
      <c r="CK187" s="1" t="str">
        <f aca="false">IF($B187="","",IF(OR(COUNTIF($B:$B,$B187)&gt;1,COUNTIF($K:$K,$K187)&gt;1),"Duplicate",""))</f>
        <v/>
      </c>
    </row>
    <row r="188" customFormat="false" ht="14.25" hidden="false" customHeight="true" outlineLevel="0" collapsed="false">
      <c r="CK188" s="1" t="str">
        <f aca="false">IF($B188="","",IF(OR(COUNTIF($B:$B,$B188)&gt;1,COUNTIF($K:$K,$K188)&gt;1),"Duplicate",""))</f>
        <v/>
      </c>
    </row>
    <row r="189" customFormat="false" ht="14.25" hidden="false" customHeight="true" outlineLevel="0" collapsed="false">
      <c r="CK189" s="1" t="str">
        <f aca="false">IF($B189="","",IF(OR(COUNTIF($B:$B,$B189)&gt;1,COUNTIF($K:$K,$K189)&gt;1),"Duplicate",""))</f>
        <v/>
      </c>
    </row>
    <row r="190" customFormat="false" ht="14.25" hidden="false" customHeight="true" outlineLevel="0" collapsed="false">
      <c r="CK190" s="1" t="str">
        <f aca="false">IF($B190="","",IF(OR(COUNTIF($B:$B,$B190)&gt;1,COUNTIF($K:$K,$K190)&gt;1),"Duplicate",""))</f>
        <v/>
      </c>
    </row>
    <row r="191" customFormat="false" ht="14.25" hidden="false" customHeight="true" outlineLevel="0" collapsed="false">
      <c r="CK191" s="1" t="str">
        <f aca="false">IF($B191="","",IF(OR(COUNTIF($B:$B,$B191)&gt;1,COUNTIF($K:$K,$K191)&gt;1),"Duplicate",""))</f>
        <v/>
      </c>
    </row>
    <row r="192" customFormat="false" ht="14.25" hidden="false" customHeight="true" outlineLevel="0" collapsed="false">
      <c r="CK192" s="1" t="str">
        <f aca="false">IF($B192="","",IF(OR(COUNTIF($B:$B,$B192)&gt;1,COUNTIF($K:$K,$K192)&gt;1),"Duplicate",""))</f>
        <v/>
      </c>
    </row>
    <row r="193" customFormat="false" ht="14.25" hidden="false" customHeight="true" outlineLevel="0" collapsed="false">
      <c r="CK193" s="1" t="str">
        <f aca="false">IF($B193="","",IF(OR(COUNTIF($B:$B,$B193)&gt;1,COUNTIF($K:$K,$K193)&gt;1),"Duplicate",""))</f>
        <v/>
      </c>
    </row>
    <row r="194" customFormat="false" ht="14.25" hidden="false" customHeight="true" outlineLevel="0" collapsed="false">
      <c r="CK194" s="1" t="str">
        <f aca="false">IF($B194="","",IF(OR(COUNTIF($B:$B,$B194)&gt;1,COUNTIF($K:$K,$K194)&gt;1),"Duplicate",""))</f>
        <v/>
      </c>
    </row>
    <row r="195" customFormat="false" ht="14.25" hidden="false" customHeight="true" outlineLevel="0" collapsed="false">
      <c r="CK195" s="1" t="str">
        <f aca="false">IF($B195="","",IF(OR(COUNTIF($B:$B,$B195)&gt;1,COUNTIF($K:$K,$K195)&gt;1),"Duplicate",""))</f>
        <v/>
      </c>
    </row>
    <row r="196" customFormat="false" ht="14.25" hidden="false" customHeight="true" outlineLevel="0" collapsed="false">
      <c r="CK196" s="1" t="str">
        <f aca="false">IF($B196="","",IF(OR(COUNTIF($B:$B,$B196)&gt;1,COUNTIF($K:$K,$K196)&gt;1),"Duplicate",""))</f>
        <v/>
      </c>
    </row>
    <row r="197" customFormat="false" ht="14.25" hidden="false" customHeight="true" outlineLevel="0" collapsed="false">
      <c r="CK197" s="1" t="str">
        <f aca="false">IF($B197="","",IF(OR(COUNTIF($B:$B,$B197)&gt;1,COUNTIF($K:$K,$K197)&gt;1),"Duplicate",""))</f>
        <v/>
      </c>
    </row>
    <row r="198" customFormat="false" ht="14.25" hidden="false" customHeight="true" outlineLevel="0" collapsed="false">
      <c r="CK198" s="1" t="str">
        <f aca="false">IF($B198="","",IF(OR(COUNTIF($B:$B,$B198)&gt;1,COUNTIF($K:$K,$K198)&gt;1),"Duplicate",""))</f>
        <v/>
      </c>
    </row>
    <row r="199" customFormat="false" ht="14.25" hidden="false" customHeight="true" outlineLevel="0" collapsed="false">
      <c r="CK199" s="1" t="str">
        <f aca="false">IF($B199="","",IF(OR(COUNTIF($B:$B,$B199)&gt;1,COUNTIF($K:$K,$K199)&gt;1),"Duplicate",""))</f>
        <v/>
      </c>
    </row>
    <row r="200" customFormat="false" ht="14.25" hidden="false" customHeight="true" outlineLevel="0" collapsed="false">
      <c r="CK200" s="1" t="str">
        <f aca="false">IF($B200="","",IF(OR(COUNTIF($B:$B,$B200)&gt;1,COUNTIF($K:$K,$K200)&gt;1),"Duplicate",""))</f>
        <v/>
      </c>
    </row>
    <row r="201" customFormat="false" ht="14.25" hidden="false" customHeight="true" outlineLevel="0" collapsed="false">
      <c r="CK201" s="1" t="str">
        <f aca="false">IF($B201="","",IF(OR(COUNTIF($B:$B,$B201)&gt;1,COUNTIF($K:$K,$K201)&gt;1),"Duplicate",""))</f>
        <v/>
      </c>
    </row>
    <row r="202" customFormat="false" ht="14.25" hidden="false" customHeight="true" outlineLevel="0" collapsed="false">
      <c r="CK202" s="1" t="str">
        <f aca="false">IF($B202="","",IF(OR(COUNTIF($B:$B,$B202)&gt;1,COUNTIF($K:$K,$K202)&gt;1),"Duplicate",""))</f>
        <v/>
      </c>
    </row>
    <row r="203" customFormat="false" ht="14.25" hidden="false" customHeight="true" outlineLevel="0" collapsed="false">
      <c r="CK203" s="1" t="str">
        <f aca="false">IF($B203="","",IF(OR(COUNTIF($B:$B,$B203)&gt;1,COUNTIF($K:$K,$K203)&gt;1),"Duplicate",""))</f>
        <v/>
      </c>
    </row>
    <row r="204" customFormat="false" ht="14.25" hidden="false" customHeight="true" outlineLevel="0" collapsed="false">
      <c r="CK204" s="1" t="str">
        <f aca="false">IF($B204="","",IF(OR(COUNTIF($B:$B,$B204)&gt;1,COUNTIF($K:$K,$K204)&gt;1),"Duplicate",""))</f>
        <v/>
      </c>
    </row>
    <row r="205" customFormat="false" ht="14.25" hidden="false" customHeight="true" outlineLevel="0" collapsed="false">
      <c r="CK205" s="1" t="str">
        <f aca="false">IF($B205="","",IF(OR(COUNTIF($B:$B,$B205)&gt;1,COUNTIF($K:$K,$K205)&gt;1),"Duplicate",""))</f>
        <v/>
      </c>
    </row>
    <row r="206" customFormat="false" ht="14.25" hidden="false" customHeight="true" outlineLevel="0" collapsed="false">
      <c r="CK206" s="1" t="str">
        <f aca="false">IF($B206="","",IF(OR(COUNTIF($B:$B,$B206)&gt;1,COUNTIF($K:$K,$K206)&gt;1),"Duplicate",""))</f>
        <v/>
      </c>
    </row>
    <row r="207" customFormat="false" ht="14.25" hidden="false" customHeight="true" outlineLevel="0" collapsed="false">
      <c r="CK207" s="1" t="str">
        <f aca="false">IF($B207="","",IF(OR(COUNTIF($B:$B,$B207)&gt;1,COUNTIF($K:$K,$K207)&gt;1),"Duplicate",""))</f>
        <v/>
      </c>
    </row>
    <row r="208" customFormat="false" ht="14.25" hidden="false" customHeight="true" outlineLevel="0" collapsed="false">
      <c r="CK208" s="1" t="str">
        <f aca="false">IF($B208="","",IF(OR(COUNTIF($B:$B,$B208)&gt;1,COUNTIF($K:$K,$K208)&gt;1),"Duplicate",""))</f>
        <v/>
      </c>
    </row>
    <row r="209" customFormat="false" ht="14.25" hidden="false" customHeight="true" outlineLevel="0" collapsed="false">
      <c r="CK209" s="1" t="str">
        <f aca="false">IF($B209="","",IF(OR(COUNTIF($B:$B,$B209)&gt;1,COUNTIF($K:$K,$K209)&gt;1),"Duplicate",""))</f>
        <v/>
      </c>
    </row>
    <row r="210" customFormat="false" ht="14.25" hidden="false" customHeight="true" outlineLevel="0" collapsed="false">
      <c r="CK210" s="1" t="str">
        <f aca="false">IF($B210="","",IF(OR(COUNTIF($B:$B,$B210)&gt;1,COUNTIF($K:$K,$K210)&gt;1),"Duplicate",""))</f>
        <v/>
      </c>
    </row>
    <row r="211" customFormat="false" ht="14.25" hidden="false" customHeight="true" outlineLevel="0" collapsed="false">
      <c r="CK211" s="1" t="str">
        <f aca="false">IF($B211="","",IF(OR(COUNTIF($B:$B,$B211)&gt;1,COUNTIF($K:$K,$K211)&gt;1),"Duplicate",""))</f>
        <v/>
      </c>
    </row>
    <row r="212" customFormat="false" ht="14.25" hidden="false" customHeight="true" outlineLevel="0" collapsed="false">
      <c r="CK212" s="1" t="str">
        <f aca="false">IF($B212="","",IF(OR(COUNTIF($B:$B,$B212)&gt;1,COUNTIF($K:$K,$K212)&gt;1),"Duplicate",""))</f>
        <v/>
      </c>
    </row>
    <row r="213" customFormat="false" ht="14.25" hidden="false" customHeight="true" outlineLevel="0" collapsed="false">
      <c r="CK213" s="1" t="str">
        <f aca="false">IF($B213="","",IF(OR(COUNTIF($B:$B,$B213)&gt;1,COUNTIF($K:$K,$K213)&gt;1),"Duplicate",""))</f>
        <v/>
      </c>
    </row>
    <row r="214" customFormat="false" ht="14.25" hidden="false" customHeight="true" outlineLevel="0" collapsed="false">
      <c r="CK214" s="1" t="str">
        <f aca="false">IF($B214="","",IF(OR(COUNTIF($B:$B,$B214)&gt;1,COUNTIF($K:$K,$K214)&gt;1),"Duplicate",""))</f>
        <v/>
      </c>
    </row>
    <row r="215" customFormat="false" ht="14.25" hidden="false" customHeight="true" outlineLevel="0" collapsed="false">
      <c r="CK215" s="1" t="str">
        <f aca="false">IF($B215="","",IF(OR(COUNTIF($B:$B,$B215)&gt;1,COUNTIF($K:$K,$K215)&gt;1),"Duplicate",""))</f>
        <v/>
      </c>
    </row>
    <row r="216" customFormat="false" ht="14.25" hidden="false" customHeight="true" outlineLevel="0" collapsed="false">
      <c r="CK216" s="1" t="str">
        <f aca="false">IF($B216="","",IF(OR(COUNTIF($B:$B,$B216)&gt;1,COUNTIF($K:$K,$K216)&gt;1),"Duplicate",""))</f>
        <v/>
      </c>
    </row>
    <row r="217" customFormat="false" ht="14.25" hidden="false" customHeight="true" outlineLevel="0" collapsed="false">
      <c r="CK217" s="1" t="str">
        <f aca="false">IF($B217="","",IF(OR(COUNTIF($B:$B,$B217)&gt;1,COUNTIF($K:$K,$K217)&gt;1),"Duplicate",""))</f>
        <v/>
      </c>
    </row>
    <row r="218" customFormat="false" ht="14.25" hidden="false" customHeight="true" outlineLevel="0" collapsed="false">
      <c r="CK218" s="1" t="str">
        <f aca="false">IF($B218="","",IF(OR(COUNTIF($B:$B,$B218)&gt;1,COUNTIF($K:$K,$K218)&gt;1),"Duplicate",""))</f>
        <v/>
      </c>
    </row>
    <row r="219" customFormat="false" ht="14.25" hidden="false" customHeight="true" outlineLevel="0" collapsed="false">
      <c r="CK219" s="1" t="str">
        <f aca="false">IF($B219="","",IF(OR(COUNTIF($B:$B,$B219)&gt;1,COUNTIF($K:$K,$K219)&gt;1),"Duplicate",""))</f>
        <v/>
      </c>
    </row>
    <row r="220" customFormat="false" ht="14.25" hidden="false" customHeight="true" outlineLevel="0" collapsed="false">
      <c r="CK220" s="1" t="str">
        <f aca="false">IF($B220="","",IF(OR(COUNTIF($B:$B,$B220)&gt;1,COUNTIF($K:$K,$K220)&gt;1),"Duplicate",""))</f>
        <v/>
      </c>
    </row>
    <row r="221" customFormat="false" ht="14.25" hidden="false" customHeight="true" outlineLevel="0" collapsed="false">
      <c r="CK221" s="1" t="str">
        <f aca="false">IF($B221="","",IF(OR(COUNTIF($B:$B,$B221)&gt;1,COUNTIF($K:$K,$K221)&gt;1),"Duplicate",""))</f>
        <v/>
      </c>
    </row>
    <row r="222" customFormat="false" ht="14.25" hidden="false" customHeight="true" outlineLevel="0" collapsed="false">
      <c r="CK222" s="1" t="str">
        <f aca="false">IF($B222="","",IF(OR(COUNTIF($B:$B,$B222)&gt;1,COUNTIF($K:$K,$K222)&gt;1),"Duplicate",""))</f>
        <v/>
      </c>
    </row>
    <row r="223" customFormat="false" ht="14.25" hidden="false" customHeight="true" outlineLevel="0" collapsed="false">
      <c r="CK223" s="1" t="str">
        <f aca="false">IF($B223="","",IF(OR(COUNTIF($B:$B,$B223)&gt;1,COUNTIF($K:$K,$K223)&gt;1),"Duplicate",""))</f>
        <v/>
      </c>
    </row>
    <row r="224" customFormat="false" ht="14.25" hidden="false" customHeight="true" outlineLevel="0" collapsed="false">
      <c r="CK224" s="1" t="str">
        <f aca="false">IF($B224="","",IF(OR(COUNTIF($B:$B,$B224)&gt;1,COUNTIF($K:$K,$K224)&gt;1),"Duplicate",""))</f>
        <v/>
      </c>
    </row>
    <row r="225" customFormat="false" ht="14.25" hidden="false" customHeight="true" outlineLevel="0" collapsed="false">
      <c r="CK225" s="1" t="str">
        <f aca="false">IF($B225="","",IF(OR(COUNTIF($B:$B,$B225)&gt;1,COUNTIF($K:$K,$K225)&gt;1),"Duplicate",""))</f>
        <v/>
      </c>
    </row>
    <row r="226" customFormat="false" ht="14.25" hidden="false" customHeight="true" outlineLevel="0" collapsed="false">
      <c r="CK226" s="1" t="str">
        <f aca="false">IF($B226="","",IF(OR(COUNTIF($B:$B,$B226)&gt;1,COUNTIF($K:$K,$K226)&gt;1),"Duplicate",""))</f>
        <v/>
      </c>
    </row>
    <row r="227" customFormat="false" ht="14.25" hidden="false" customHeight="true" outlineLevel="0" collapsed="false">
      <c r="CK227" s="1" t="str">
        <f aca="false">IF($B227="","",IF(OR(COUNTIF($B:$B,$B227)&gt;1,COUNTIF($K:$K,$K227)&gt;1),"Duplicate",""))</f>
        <v/>
      </c>
    </row>
    <row r="228" customFormat="false" ht="14.25" hidden="false" customHeight="true" outlineLevel="0" collapsed="false">
      <c r="CK228" s="1" t="str">
        <f aca="false">IF($B228="","",IF(OR(COUNTIF($B:$B,$B228)&gt;1,COUNTIF($K:$K,$K228)&gt;1),"Duplicate",""))</f>
        <v/>
      </c>
    </row>
    <row r="229" customFormat="false" ht="14.25" hidden="false" customHeight="true" outlineLevel="0" collapsed="false">
      <c r="CK229" s="1" t="str">
        <f aca="false">IF($B229="","",IF(OR(COUNTIF($B:$B,$B229)&gt;1,COUNTIF($K:$K,$K229)&gt;1),"Duplicate",""))</f>
        <v/>
      </c>
    </row>
    <row r="230" customFormat="false" ht="14.25" hidden="false" customHeight="true" outlineLevel="0" collapsed="false">
      <c r="CK230" s="1" t="str">
        <f aca="false">IF($B230="","",IF(OR(COUNTIF($B:$B,$B230)&gt;1,COUNTIF($K:$K,$K230)&gt;1),"Duplicate",""))</f>
        <v/>
      </c>
    </row>
    <row r="231" customFormat="false" ht="14.25" hidden="false" customHeight="true" outlineLevel="0" collapsed="false">
      <c r="CK231" s="1" t="str">
        <f aca="false">IF($B231="","",IF(OR(COUNTIF($B:$B,$B231)&gt;1,COUNTIF($K:$K,$K231)&gt;1),"Duplicate",""))</f>
        <v/>
      </c>
    </row>
    <row r="232" customFormat="false" ht="14.25" hidden="false" customHeight="true" outlineLevel="0" collapsed="false">
      <c r="CK232" s="1" t="str">
        <f aca="false">IF($B232="","",IF(OR(COUNTIF($B:$B,$B232)&gt;1,COUNTIF($K:$K,$K232)&gt;1),"Duplicate",""))</f>
        <v/>
      </c>
    </row>
    <row r="233" customFormat="false" ht="14.25" hidden="false" customHeight="true" outlineLevel="0" collapsed="false">
      <c r="CK233" s="1" t="str">
        <f aca="false">IF($B233="","",IF(OR(COUNTIF($B:$B,$B233)&gt;1,COUNTIF($K:$K,$K233)&gt;1),"Duplicate",""))</f>
        <v/>
      </c>
    </row>
    <row r="234" customFormat="false" ht="14.25" hidden="false" customHeight="true" outlineLevel="0" collapsed="false">
      <c r="CK234" s="1" t="str">
        <f aca="false">IF($B234="","",IF(OR(COUNTIF($B:$B,$B234)&gt;1,COUNTIF($K:$K,$K234)&gt;1),"Duplicate",""))</f>
        <v/>
      </c>
    </row>
    <row r="235" customFormat="false" ht="14.25" hidden="false" customHeight="true" outlineLevel="0" collapsed="false">
      <c r="CK235" s="1" t="str">
        <f aca="false">IF($B235="","",IF(OR(COUNTIF($B:$B,$B235)&gt;1,COUNTIF($K:$K,$K235)&gt;1),"Duplicate",""))</f>
        <v/>
      </c>
    </row>
    <row r="236" customFormat="false" ht="14.25" hidden="false" customHeight="true" outlineLevel="0" collapsed="false">
      <c r="CK236" s="1" t="str">
        <f aca="false">IF($B236="","",IF(OR(COUNTIF($B:$B,$B236)&gt;1,COUNTIF($K:$K,$K236)&gt;1),"Duplicate",""))</f>
        <v/>
      </c>
    </row>
    <row r="237" customFormat="false" ht="14.25" hidden="false" customHeight="true" outlineLevel="0" collapsed="false">
      <c r="CK237" s="1" t="str">
        <f aca="false">IF($B237="","",IF(OR(COUNTIF($B:$B,$B237)&gt;1,COUNTIF($K:$K,$K237)&gt;1),"Duplicate",""))</f>
        <v/>
      </c>
    </row>
    <row r="238" customFormat="false" ht="14.25" hidden="false" customHeight="true" outlineLevel="0" collapsed="false">
      <c r="AI238" s="59"/>
      <c r="CK238" s="1" t="str">
        <f aca="false">IF($B238="","",IF(OR(COUNTIF($B:$B,$B238)&gt;1,COUNTIF($K:$K,$K238)&gt;1),"Duplicate",""))</f>
        <v/>
      </c>
    </row>
    <row r="369" customFormat="false" ht="15" hidden="false" customHeight="true" outlineLevel="0" collapsed="false"/>
    <row r="466" customFormat="false" ht="15" hidden="false" customHeight="true" outlineLevel="0" collapsed="false"/>
    <row r="467" customFormat="false" ht="15" hidden="false" customHeight="true" outlineLevel="0" collapsed="false"/>
    <row r="468" customFormat="false" ht="15" hidden="false" customHeight="true" outlineLevel="0" collapsed="false"/>
  </sheetData>
  <autoFilter ref="A1:CQ1">
    <sortState ref="A2:CQ1">
      <sortCondition ref="A2:A1" descending="1" customList=""/>
    </sortState>
  </autoFilter>
  <conditionalFormatting sqref="B324:B651">
    <cfRule type="duplicateValues" priority="2" aboveAverage="0" equalAverage="0" bottom="0" percent="0" rank="0" text="" dxfId="4"/>
  </conditionalFormatting>
  <conditionalFormatting sqref="B634:B651">
    <cfRule type="duplicateValues" priority="3" aboveAverage="0" equalAverage="0" bottom="0" percent="0" rank="0" text="" dxfId="4"/>
  </conditionalFormatting>
  <conditionalFormatting sqref="B1">
    <cfRule type="duplicateValues" priority="4" aboveAverage="0" equalAverage="0" bottom="0" percent="0" rank="0" text="" dxfId="4"/>
  </conditionalFormatting>
  <conditionalFormatting sqref="B1364:B1048576">
    <cfRule type="duplicateValues" priority="5" aboveAverage="0" equalAverage="0" bottom="0" percent="0" rank="0" text="" dxfId="4"/>
  </conditionalFormatting>
  <conditionalFormatting sqref="B652:B1430">
    <cfRule type="duplicateValues" priority="6" aboveAverage="0" equalAverage="0" bottom="0" percent="0" rank="0" text="" dxfId="4"/>
  </conditionalFormatting>
  <conditionalFormatting sqref="B652:B1463">
    <cfRule type="duplicateValues" priority="7" aboveAverage="0" equalAverage="0" bottom="0" percent="0" rank="0" text="" dxfId="4"/>
  </conditionalFormatting>
  <conditionalFormatting sqref="B2:B323">
    <cfRule type="duplicateValues" priority="8" aboveAverage="0" equalAverage="0" bottom="0" percent="0" rank="0" text="" dxfId="4"/>
  </conditionalFormatting>
  <conditionalFormatting sqref="B2:B651">
    <cfRule type="duplicateValues" priority="9" aboveAverage="0" equalAverage="0" bottom="0" percent="0" rank="0" text="" dxfId="4"/>
  </conditionalFormatting>
  <printOptions headings="false" gridLines="false" gridLinesSet="true" horizontalCentered="false" verticalCentered="false"/>
  <pageMargins left="0.7" right="0.7" top="0.75" bottom="0.75" header="0.511811023622047" footer="0.3"/>
  <pageSetup paperSize="1" scale="100" fitToWidth="1" fitToHeight="1" pageOrder="downThenOver" orientation="portrait" blackAndWhite="false" draft="false" cellComments="none" horizontalDpi="300" verticalDpi="300" copies="1"/>
  <headerFooter differentFirst="false" differentOddEven="false">
    <oddHeader/>
    <oddFooter>&amp;L&amp;10 _x005F_x000d_# Classification: Western Union Unrestricted Internal </oddFooter>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J6" activeCellId="0" sqref="J6"/>
    </sheetView>
  </sheetViews>
  <sheetFormatPr defaultColWidth="8.6796875" defaultRowHeight="14.25" zeroHeight="false" outlineLevelRow="0" outlineLevelCol="0"/>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1">
              <controlPr defaultSize="0" print="true" autoFill="0" autoPict="0">
                <anchor moveWithCells="true" sizeWithCells="false">
                  <from>
                    <xdr:col>3</xdr:col>
                    <xdr:colOff>104760</xdr:colOff>
                    <xdr:row>2</xdr:row>
                    <xdr:rowOff>104760</xdr:rowOff>
                  </from>
                  <to>
                    <xdr:col>8</xdr:col>
                    <xdr:colOff>162000</xdr:colOff>
                    <xdr:row>8</xdr:row>
                    <xdr:rowOff>133200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B1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 activeCellId="0" sqref="B1"/>
    </sheetView>
  </sheetViews>
  <sheetFormatPr defaultColWidth="8.6796875" defaultRowHeight="14.25" zeroHeight="false" outlineLevelRow="0" outlineLevelCol="0"/>
  <cols>
    <col collapsed="false" customWidth="true" hidden="false" outlineLevel="0" max="2" min="1" style="1" width="17.82"/>
  </cols>
  <sheetData>
    <row r="1" customFormat="false" ht="14.25" hidden="false" customHeight="true" outlineLevel="0" collapsed="false">
      <c r="A1" s="19" t="n">
        <v>10000002132932</v>
      </c>
      <c r="B1" s="1" t="str">
        <f aca="false">"'"&amp;A1&amp;"',"</f>
        <v>'10000002132932',</v>
      </c>
    </row>
    <row r="2" customFormat="false" ht="14.25" hidden="false" customHeight="true" outlineLevel="0" collapsed="false">
      <c r="A2" s="19" t="n">
        <v>10000001481551</v>
      </c>
      <c r="B2" s="1" t="str">
        <f aca="false">"'"&amp;A2&amp;"',"</f>
        <v>'10000001481551',</v>
      </c>
    </row>
    <row r="3" customFormat="false" ht="14.25" hidden="false" customHeight="true" outlineLevel="0" collapsed="false">
      <c r="A3" s="19" t="n">
        <v>10000001875182</v>
      </c>
      <c r="B3" s="1" t="str">
        <f aca="false">"'"&amp;A3&amp;"',"</f>
        <v>'10000001875182',</v>
      </c>
    </row>
    <row r="4" customFormat="false" ht="14.25" hidden="false" customHeight="true" outlineLevel="0" collapsed="false">
      <c r="A4" s="19" t="n">
        <v>10000001875266</v>
      </c>
      <c r="B4" s="1" t="str">
        <f aca="false">"'"&amp;A4&amp;"',"</f>
        <v>'10000001875266',</v>
      </c>
    </row>
    <row r="5" customFormat="false" ht="14.25" hidden="false" customHeight="true" outlineLevel="0" collapsed="false">
      <c r="A5" s="19" t="n">
        <v>10000000668862</v>
      </c>
      <c r="B5" s="1" t="str">
        <f aca="false">"'"&amp;A5&amp;"',"</f>
        <v>'10000000668862',</v>
      </c>
    </row>
    <row r="6" customFormat="false" ht="14.25" hidden="false" customHeight="true" outlineLevel="0" collapsed="false">
      <c r="A6" s="19" t="n">
        <v>10000001547394</v>
      </c>
      <c r="B6" s="1" t="str">
        <f aca="false">"'"&amp;A6&amp;"',"</f>
        <v>'10000001547394',</v>
      </c>
    </row>
    <row r="7" customFormat="false" ht="14.25" hidden="false" customHeight="true" outlineLevel="0" collapsed="false">
      <c r="A7" s="19" t="n">
        <v>10000001547235</v>
      </c>
      <c r="B7" s="1" t="str">
        <f aca="false">"'"&amp;A7&amp;"',"</f>
        <v>'10000001547235',</v>
      </c>
    </row>
    <row r="8" customFormat="false" ht="14.25" hidden="false" customHeight="true" outlineLevel="0" collapsed="false">
      <c r="A8" s="19" t="n">
        <v>10000001547391</v>
      </c>
      <c r="B8" s="1" t="str">
        <f aca="false">"'"&amp;A8&amp;"',"</f>
        <v>'10000001547391',</v>
      </c>
    </row>
    <row r="9" customFormat="false" ht="14.25" hidden="false" customHeight="true" outlineLevel="0" collapsed="false">
      <c r="A9" s="19" t="n">
        <v>10000001547175</v>
      </c>
      <c r="B9" s="1" t="str">
        <f aca="false">"'"&amp;A9&amp;"',"</f>
        <v>'10000001547175',</v>
      </c>
    </row>
    <row r="10" customFormat="false" ht="14.25" hidden="false" customHeight="true" outlineLevel="0" collapsed="false">
      <c r="A10" s="19" t="n">
        <v>10000000633332</v>
      </c>
      <c r="B10" s="1" t="str">
        <f aca="false">"'"&amp;A10&amp;"',"</f>
        <v>'10000000633332',</v>
      </c>
    </row>
    <row r="11" customFormat="false" ht="14.25" hidden="false" customHeight="true" outlineLevel="0" collapsed="false">
      <c r="A11" s="19" t="n">
        <v>10000000629640</v>
      </c>
      <c r="B11" s="1" t="str">
        <f aca="false">"'"&amp;A11&amp;"',"</f>
        <v>'10000000629640',</v>
      </c>
    </row>
    <row r="12" customFormat="false" ht="14.25" hidden="false" customHeight="true" outlineLevel="0" collapsed="false">
      <c r="A12" s="19" t="n">
        <v>10000000635228</v>
      </c>
      <c r="B12" s="1" t="str">
        <f aca="false">"'"&amp;A12&amp;"',"</f>
        <v>'10000000635228',</v>
      </c>
    </row>
    <row r="13" customFormat="false" ht="14.25" hidden="false" customHeight="true" outlineLevel="0" collapsed="false">
      <c r="A13" s="19" t="n">
        <v>10000000646599</v>
      </c>
      <c r="B13" s="1" t="str">
        <f aca="false">"'"&amp;A13&amp;"',"</f>
        <v>'10000000646599',</v>
      </c>
    </row>
    <row r="14" customFormat="false" ht="14.25" hidden="false" customHeight="true" outlineLevel="0" collapsed="false">
      <c r="A14" s="19" t="n">
        <v>10000000665359</v>
      </c>
      <c r="B14" s="1" t="str">
        <f aca="false">"'"&amp;A14&amp;"',"</f>
        <v>'10000000665359',</v>
      </c>
    </row>
    <row r="15" customFormat="false" ht="14.25" hidden="false" customHeight="true" outlineLevel="0" collapsed="false">
      <c r="A15" s="19" t="n">
        <v>10000002854696</v>
      </c>
      <c r="B15" s="1" t="str">
        <f aca="false">"'"&amp;A15&amp;"',"</f>
        <v>'10000002854696',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2023-08-23T12:30:14Z</dcterms:created>
  <dc:creator>Ronald Isaac Cordero</dc:creator>
  <dc:description/>
  <dc:language>en-US</dc:language>
  <cp:lastModifiedBy>Ronald Andres Ruiz Gomez</cp:lastModifiedBy>
  <dcterms:modified xsi:type="dcterms:W3CDTF">2026-07-14T02:20:17Z</dcterms:modified>
  <cp:revision>0</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0x01010053CB0B27A225A74B9B46206BE9456632</vt:lpwstr>
  </property>
  <property fmtid="{D5CDD505-2E9C-101B-9397-08002B2CF9AE}" pid="3" name="MSIP_Label_59f1515f-ae52-4b62-8ae2-5819636ba48f_ActionId">
    <vt:lpwstr>4b620850-3dd3-42ad-a55e-b97f49f0d9fb</vt:lpwstr>
  </property>
  <property fmtid="{D5CDD505-2E9C-101B-9397-08002B2CF9AE}" pid="4" name="MSIP_Label_59f1515f-ae52-4b62-8ae2-5819636ba48f_ContentBits">
    <vt:lpwstr>2</vt:lpwstr>
  </property>
  <property fmtid="{D5CDD505-2E9C-101B-9397-08002B2CF9AE}" pid="5" name="MSIP_Label_59f1515f-ae52-4b62-8ae2-5819636ba48f_Enabled">
    <vt:lpwstr>true</vt:lpwstr>
  </property>
  <property fmtid="{D5CDD505-2E9C-101B-9397-08002B2CF9AE}" pid="6" name="MSIP_Label_59f1515f-ae52-4b62-8ae2-5819636ba48f_Method">
    <vt:lpwstr>Privileged</vt:lpwstr>
  </property>
  <property fmtid="{D5CDD505-2E9C-101B-9397-08002B2CF9AE}" pid="7" name="MSIP_Label_59f1515f-ae52-4b62-8ae2-5819636ba48f_Name">
    <vt:lpwstr>Unrestricted Internal</vt:lpwstr>
  </property>
  <property fmtid="{D5CDD505-2E9C-101B-9397-08002B2CF9AE}" pid="8" name="MSIP_Label_59f1515f-ae52-4b62-8ae2-5819636ba48f_SetDate">
    <vt:lpwstr>2023-08-23T12:42:01Z</vt:lpwstr>
  </property>
  <property fmtid="{D5CDD505-2E9C-101B-9397-08002B2CF9AE}" pid="9" name="MSIP_Label_59f1515f-ae52-4b62-8ae2-5819636ba48f_SiteId">
    <vt:lpwstr>ce3a67f2-5a22-4fb8-a511-815f8924cda6</vt:lpwstr>
  </property>
  <property fmtid="{D5CDD505-2E9C-101B-9397-08002B2CF9AE}" pid="10" name="MediaServiceImageTags">
    <vt:lpwstr/>
  </property>
</Properties>
</file>